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 y ka dai\MSIGSX\Finance\"/>
    </mc:Choice>
  </mc:AlternateContent>
  <xr:revisionPtr revIDLastSave="0" documentId="13_ncr:1_{4EFC1C47-0641-45C0-8439-9C0354AEFE6E}" xr6:coauthVersionLast="47" xr6:coauthVersionMax="47" xr10:uidLastSave="{00000000-0000-0000-0000-000000000000}"/>
  <bookViews>
    <workbookView xWindow="-108" yWindow="-108" windowWidth="23256" windowHeight="12456" activeTab="1" xr2:uid="{EB619FB3-A21E-4249-B805-76C13F8AD275}"/>
  </bookViews>
  <sheets>
    <sheet name="FF" sheetId="1" r:id="rId1"/>
    <sheet name="FF2" sheetId="7" r:id="rId2"/>
    <sheet name="FO" sheetId="11" r:id="rId3"/>
    <sheet name="FC" sheetId="13" r:id="rId4"/>
    <sheet name="FV" sheetId="15" r:id="rId5"/>
    <sheet name="FS" sheetId="17" r:id="rId6"/>
    <sheet name="FS0001" sheetId="18" r:id="rId7"/>
    <sheet name="FV0001" sheetId="16" r:id="rId8"/>
    <sheet name="FC0001" sheetId="14" r:id="rId9"/>
    <sheet name="FO0002" sheetId="12" r:id="rId10"/>
    <sheet name="FO0001" sheetId="10" r:id="rId11"/>
    <sheet name="FF0156" sheetId="9" r:id="rId12"/>
    <sheet name="FF0001" sheetId="3" r:id="rId13"/>
    <sheet name="Sheet7" sheetId="8" r:id="rId14"/>
    <sheet name="Sheet11" sheetId="25" r:id="rId15"/>
  </sheets>
  <definedNames>
    <definedName name="_xlnm._FilterDatabase" localSheetId="3" hidden="1">FC!$A$1:$T$93</definedName>
    <definedName name="_xlnm._FilterDatabase" localSheetId="0" hidden="1">FF!$A$1:$T$156</definedName>
    <definedName name="_xlnm._FilterDatabase" localSheetId="2" hidden="1">FO!$A$1:$T$67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L2" i="1" l="1"/>
  <c r="S2" i="1"/>
  <c r="P2" i="1"/>
  <c r="M2" i="1" l="1"/>
  <c r="Q3" i="17"/>
  <c r="Q4" i="17"/>
  <c r="Q5" i="17"/>
  <c r="Q6" i="17"/>
  <c r="Q7" i="17"/>
  <c r="Q8" i="17"/>
  <c r="Q9" i="17"/>
  <c r="Q10" i="17"/>
  <c r="Q2" i="17"/>
  <c r="P3" i="17"/>
  <c r="P4" i="17"/>
  <c r="P5" i="17"/>
  <c r="P6" i="17"/>
  <c r="P2" i="17"/>
  <c r="P7" i="17"/>
  <c r="P8" i="17"/>
  <c r="P10" i="17"/>
  <c r="P9" i="17"/>
  <c r="P2" i="15"/>
  <c r="P9" i="15"/>
  <c r="O3" i="17"/>
  <c r="O4" i="17"/>
  <c r="O5" i="17"/>
  <c r="O6" i="17"/>
  <c r="O2" i="17"/>
  <c r="L3" i="17"/>
  <c r="L4" i="17"/>
  <c r="L5" i="17"/>
  <c r="L6" i="17"/>
  <c r="L7" i="17"/>
  <c r="M7" i="17" s="1"/>
  <c r="L8" i="17"/>
  <c r="M8" i="17" s="1"/>
  <c r="L9" i="17"/>
  <c r="M9" i="17" s="1"/>
  <c r="S3" i="17"/>
  <c r="S4" i="17"/>
  <c r="S5" i="17"/>
  <c r="S6" i="17"/>
  <c r="S7" i="17"/>
  <c r="S8" i="17"/>
  <c r="S9" i="17"/>
  <c r="S10" i="17"/>
  <c r="L10" i="17" s="1"/>
  <c r="M10" i="17" s="1"/>
  <c r="S2" i="17"/>
  <c r="L2" i="17" s="1"/>
  <c r="F3" i="17"/>
  <c r="F4" i="17"/>
  <c r="F5" i="17"/>
  <c r="F6" i="17"/>
  <c r="F7" i="17"/>
  <c r="F8" i="17"/>
  <c r="F9" i="17"/>
  <c r="F10" i="17"/>
  <c r="F2" i="17"/>
  <c r="J3" i="8"/>
  <c r="J4" i="8"/>
  <c r="J5" i="8"/>
  <c r="J6" i="8"/>
  <c r="J7" i="8"/>
  <c r="J8" i="8"/>
  <c r="J9" i="8"/>
  <c r="J10" i="8"/>
  <c r="J2" i="8"/>
  <c r="D2" i="8"/>
  <c r="E2" i="8" s="1"/>
  <c r="G10" i="8"/>
  <c r="D10" i="8"/>
  <c r="E10" i="8" s="1"/>
  <c r="H10" i="8" s="1"/>
  <c r="G9" i="8"/>
  <c r="D9" i="8"/>
  <c r="E9" i="8" s="1"/>
  <c r="G8" i="8"/>
  <c r="H8" i="8" s="1"/>
  <c r="E8" i="8"/>
  <c r="D8" i="8"/>
  <c r="G7" i="8"/>
  <c r="D7" i="8"/>
  <c r="E7" i="8" s="1"/>
  <c r="H7" i="8" s="1"/>
  <c r="G6" i="8"/>
  <c r="D6" i="8"/>
  <c r="E6" i="8" s="1"/>
  <c r="G5" i="8"/>
  <c r="D5" i="8"/>
  <c r="E5" i="8" s="1"/>
  <c r="G4" i="8"/>
  <c r="D4" i="8"/>
  <c r="E4" i="8" s="1"/>
  <c r="H4" i="8" s="1"/>
  <c r="G3" i="8"/>
  <c r="D3" i="8"/>
  <c r="E3" i="8" s="1"/>
  <c r="G2" i="8"/>
  <c r="H3" i="8" l="1"/>
  <c r="H5" i="8"/>
  <c r="H6" i="8"/>
  <c r="H2" i="8"/>
  <c r="H9" i="8"/>
  <c r="O9" i="15" l="1"/>
  <c r="O8" i="15"/>
  <c r="M9" i="15"/>
  <c r="M8" i="15"/>
  <c r="L3" i="15"/>
  <c r="L4" i="15"/>
  <c r="L5" i="15"/>
  <c r="L6" i="15"/>
  <c r="L7" i="15"/>
  <c r="L8" i="15"/>
  <c r="L9" i="15"/>
  <c r="P3" i="15"/>
  <c r="P4" i="15"/>
  <c r="P5" i="15"/>
  <c r="P6" i="15"/>
  <c r="P7" i="15"/>
  <c r="P8" i="15"/>
  <c r="P2" i="11"/>
  <c r="S2" i="15"/>
  <c r="L2" i="15" s="1"/>
  <c r="S3" i="15"/>
  <c r="S4" i="15"/>
  <c r="S5" i="15"/>
  <c r="S6" i="15"/>
  <c r="S7" i="15"/>
  <c r="S8" i="15"/>
  <c r="S9" i="15"/>
  <c r="O36" i="13"/>
  <c r="O37" i="13"/>
  <c r="O38" i="13"/>
  <c r="O39" i="13"/>
  <c r="O40" i="13"/>
  <c r="O41" i="13"/>
  <c r="P41" i="13" s="1"/>
  <c r="O42" i="13"/>
  <c r="P42" i="13" s="1"/>
  <c r="O43" i="13"/>
  <c r="P43" i="13" s="1"/>
  <c r="O44" i="13"/>
  <c r="P44" i="13" s="1"/>
  <c r="O45" i="13"/>
  <c r="P45" i="13" s="1"/>
  <c r="O46" i="13"/>
  <c r="O47" i="13"/>
  <c r="P47" i="13" s="1"/>
  <c r="O48" i="13"/>
  <c r="O49" i="13"/>
  <c r="O50" i="13"/>
  <c r="P50" i="13" s="1"/>
  <c r="O51" i="13"/>
  <c r="O52" i="13"/>
  <c r="O53" i="13"/>
  <c r="P53" i="13" s="1"/>
  <c r="O54" i="13"/>
  <c r="P54" i="13" s="1"/>
  <c r="O55" i="13"/>
  <c r="P55" i="13" s="1"/>
  <c r="O56" i="13"/>
  <c r="P56" i="13" s="1"/>
  <c r="O57" i="13"/>
  <c r="P57" i="13" s="1"/>
  <c r="O58" i="13"/>
  <c r="O59" i="13"/>
  <c r="P59" i="13" s="1"/>
  <c r="O60" i="13"/>
  <c r="O61" i="13"/>
  <c r="O62" i="13"/>
  <c r="P62" i="13" s="1"/>
  <c r="O63" i="13"/>
  <c r="O64" i="13"/>
  <c r="O65" i="13"/>
  <c r="P65" i="13" s="1"/>
  <c r="O66" i="13"/>
  <c r="P66" i="13" s="1"/>
  <c r="O67" i="13"/>
  <c r="P67" i="13" s="1"/>
  <c r="O68" i="13"/>
  <c r="P68" i="13" s="1"/>
  <c r="O69" i="13"/>
  <c r="P69" i="13" s="1"/>
  <c r="O70" i="13"/>
  <c r="P70" i="13" s="1"/>
  <c r="O35" i="13"/>
  <c r="P35" i="13" s="1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6" i="13"/>
  <c r="P37" i="13"/>
  <c r="P38" i="13"/>
  <c r="P39" i="13"/>
  <c r="P40" i="13"/>
  <c r="P46" i="13"/>
  <c r="P48" i="13"/>
  <c r="P49" i="13"/>
  <c r="P51" i="13"/>
  <c r="P52" i="13"/>
  <c r="P58" i="13"/>
  <c r="P60" i="13"/>
  <c r="P61" i="13"/>
  <c r="P63" i="13"/>
  <c r="P64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2" i="13"/>
  <c r="S3" i="13"/>
  <c r="L3" i="13" s="1"/>
  <c r="M3" i="13" s="1"/>
  <c r="S4" i="13"/>
  <c r="L4" i="13" s="1"/>
  <c r="M4" i="13" s="1"/>
  <c r="S5" i="13"/>
  <c r="L5" i="13" s="1"/>
  <c r="M5" i="13" s="1"/>
  <c r="S6" i="13"/>
  <c r="L6" i="13" s="1"/>
  <c r="M6" i="13" s="1"/>
  <c r="S7" i="13"/>
  <c r="L7" i="13" s="1"/>
  <c r="M7" i="13" s="1"/>
  <c r="S8" i="13"/>
  <c r="L8" i="13" s="1"/>
  <c r="M8" i="13" s="1"/>
  <c r="S9" i="13"/>
  <c r="L9" i="13" s="1"/>
  <c r="M9" i="13" s="1"/>
  <c r="S10" i="13"/>
  <c r="L10" i="13" s="1"/>
  <c r="M10" i="13" s="1"/>
  <c r="S11" i="13"/>
  <c r="L11" i="13" s="1"/>
  <c r="M11" i="13" s="1"/>
  <c r="S12" i="13"/>
  <c r="L12" i="13" s="1"/>
  <c r="M12" i="13" s="1"/>
  <c r="S13" i="13"/>
  <c r="L13" i="13" s="1"/>
  <c r="M13" i="13" s="1"/>
  <c r="S14" i="13"/>
  <c r="L14" i="13" s="1"/>
  <c r="M14" i="13" s="1"/>
  <c r="S15" i="13"/>
  <c r="L15" i="13" s="1"/>
  <c r="M15" i="13" s="1"/>
  <c r="S16" i="13"/>
  <c r="L16" i="13" s="1"/>
  <c r="M16" i="13" s="1"/>
  <c r="S17" i="13"/>
  <c r="L17" i="13" s="1"/>
  <c r="M17" i="13" s="1"/>
  <c r="S18" i="13"/>
  <c r="L18" i="13" s="1"/>
  <c r="M18" i="13" s="1"/>
  <c r="S19" i="13"/>
  <c r="L19" i="13" s="1"/>
  <c r="M19" i="13" s="1"/>
  <c r="S20" i="13"/>
  <c r="L20" i="13" s="1"/>
  <c r="M20" i="13" s="1"/>
  <c r="S21" i="13"/>
  <c r="L21" i="13" s="1"/>
  <c r="M21" i="13" s="1"/>
  <c r="S22" i="13"/>
  <c r="L22" i="13" s="1"/>
  <c r="M22" i="13" s="1"/>
  <c r="S23" i="13"/>
  <c r="L23" i="13" s="1"/>
  <c r="M23" i="13" s="1"/>
  <c r="S24" i="13"/>
  <c r="L24" i="13" s="1"/>
  <c r="M24" i="13" s="1"/>
  <c r="S25" i="13"/>
  <c r="L25" i="13" s="1"/>
  <c r="M25" i="13" s="1"/>
  <c r="S26" i="13"/>
  <c r="L26" i="13" s="1"/>
  <c r="M26" i="13" s="1"/>
  <c r="S27" i="13"/>
  <c r="L27" i="13" s="1"/>
  <c r="M27" i="13" s="1"/>
  <c r="S28" i="13"/>
  <c r="L28" i="13" s="1"/>
  <c r="M28" i="13" s="1"/>
  <c r="S29" i="13"/>
  <c r="L29" i="13" s="1"/>
  <c r="M29" i="13" s="1"/>
  <c r="S30" i="13"/>
  <c r="L30" i="13" s="1"/>
  <c r="M30" i="13" s="1"/>
  <c r="S31" i="13"/>
  <c r="L31" i="13" s="1"/>
  <c r="M31" i="13" s="1"/>
  <c r="S32" i="13"/>
  <c r="L32" i="13" s="1"/>
  <c r="M32" i="13" s="1"/>
  <c r="S33" i="13"/>
  <c r="L33" i="13" s="1"/>
  <c r="M33" i="13" s="1"/>
  <c r="S34" i="13"/>
  <c r="L34" i="13" s="1"/>
  <c r="M34" i="13" s="1"/>
  <c r="S35" i="13"/>
  <c r="L35" i="13" s="1"/>
  <c r="S36" i="13"/>
  <c r="L36" i="13" s="1"/>
  <c r="S37" i="13"/>
  <c r="L37" i="13" s="1"/>
  <c r="S38" i="13"/>
  <c r="L38" i="13" s="1"/>
  <c r="S39" i="13"/>
  <c r="L39" i="13" s="1"/>
  <c r="S40" i="13"/>
  <c r="L40" i="13" s="1"/>
  <c r="S41" i="13"/>
  <c r="L41" i="13" s="1"/>
  <c r="S42" i="13"/>
  <c r="L42" i="13" s="1"/>
  <c r="S43" i="13"/>
  <c r="L43" i="13" s="1"/>
  <c r="S44" i="13"/>
  <c r="L44" i="13" s="1"/>
  <c r="S45" i="13"/>
  <c r="L45" i="13" s="1"/>
  <c r="S46" i="13"/>
  <c r="L46" i="13" s="1"/>
  <c r="S47" i="13"/>
  <c r="L47" i="13" s="1"/>
  <c r="S48" i="13"/>
  <c r="L48" i="13" s="1"/>
  <c r="S49" i="13"/>
  <c r="L49" i="13" s="1"/>
  <c r="S50" i="13"/>
  <c r="L50" i="13" s="1"/>
  <c r="S51" i="13"/>
  <c r="L51" i="13" s="1"/>
  <c r="S52" i="13"/>
  <c r="L52" i="13" s="1"/>
  <c r="S53" i="13"/>
  <c r="L53" i="13" s="1"/>
  <c r="S54" i="13"/>
  <c r="L54" i="13" s="1"/>
  <c r="S55" i="13"/>
  <c r="L55" i="13" s="1"/>
  <c r="S56" i="13"/>
  <c r="L56" i="13" s="1"/>
  <c r="S57" i="13"/>
  <c r="L57" i="13" s="1"/>
  <c r="S58" i="13"/>
  <c r="L58" i="13" s="1"/>
  <c r="S59" i="13"/>
  <c r="L59" i="13" s="1"/>
  <c r="S60" i="13"/>
  <c r="L60" i="13" s="1"/>
  <c r="S61" i="13"/>
  <c r="L61" i="13" s="1"/>
  <c r="S62" i="13"/>
  <c r="L62" i="13" s="1"/>
  <c r="S63" i="13"/>
  <c r="L63" i="13" s="1"/>
  <c r="S64" i="13"/>
  <c r="L64" i="13" s="1"/>
  <c r="S65" i="13"/>
  <c r="L65" i="13" s="1"/>
  <c r="S66" i="13"/>
  <c r="L66" i="13" s="1"/>
  <c r="S67" i="13"/>
  <c r="L67" i="13" s="1"/>
  <c r="S68" i="13"/>
  <c r="L68" i="13" s="1"/>
  <c r="S69" i="13"/>
  <c r="L69" i="13" s="1"/>
  <c r="S70" i="13"/>
  <c r="L70" i="13" s="1"/>
  <c r="S71" i="13"/>
  <c r="L71" i="13" s="1"/>
  <c r="M71" i="13" s="1"/>
  <c r="S72" i="13"/>
  <c r="L72" i="13" s="1"/>
  <c r="M72" i="13" s="1"/>
  <c r="S73" i="13"/>
  <c r="L73" i="13" s="1"/>
  <c r="M73" i="13" s="1"/>
  <c r="S74" i="13"/>
  <c r="L74" i="13" s="1"/>
  <c r="M74" i="13" s="1"/>
  <c r="S75" i="13"/>
  <c r="L75" i="13" s="1"/>
  <c r="M75" i="13" s="1"/>
  <c r="S76" i="13"/>
  <c r="L76" i="13" s="1"/>
  <c r="M76" i="13" s="1"/>
  <c r="S77" i="13"/>
  <c r="L77" i="13" s="1"/>
  <c r="M77" i="13" s="1"/>
  <c r="S78" i="13"/>
  <c r="L78" i="13" s="1"/>
  <c r="M78" i="13" s="1"/>
  <c r="S79" i="13"/>
  <c r="L79" i="13" s="1"/>
  <c r="M79" i="13" s="1"/>
  <c r="S80" i="13"/>
  <c r="L80" i="13" s="1"/>
  <c r="M80" i="13" s="1"/>
  <c r="S81" i="13"/>
  <c r="L81" i="13" s="1"/>
  <c r="M81" i="13" s="1"/>
  <c r="S82" i="13"/>
  <c r="L82" i="13" s="1"/>
  <c r="M82" i="13" s="1"/>
  <c r="S83" i="13"/>
  <c r="L83" i="13" s="1"/>
  <c r="M83" i="13" s="1"/>
  <c r="S84" i="13"/>
  <c r="L84" i="13" s="1"/>
  <c r="M84" i="13" s="1"/>
  <c r="S85" i="13"/>
  <c r="L85" i="13" s="1"/>
  <c r="M85" i="13" s="1"/>
  <c r="S86" i="13"/>
  <c r="L86" i="13" s="1"/>
  <c r="M86" i="13" s="1"/>
  <c r="S87" i="13"/>
  <c r="L87" i="13" s="1"/>
  <c r="M87" i="13" s="1"/>
  <c r="S88" i="13"/>
  <c r="L88" i="13" s="1"/>
  <c r="M88" i="13" s="1"/>
  <c r="S89" i="13"/>
  <c r="L89" i="13" s="1"/>
  <c r="M89" i="13" s="1"/>
  <c r="S90" i="13"/>
  <c r="L90" i="13" s="1"/>
  <c r="M90" i="13" s="1"/>
  <c r="S91" i="13"/>
  <c r="L91" i="13" s="1"/>
  <c r="M91" i="13" s="1"/>
  <c r="S92" i="13"/>
  <c r="L92" i="13" s="1"/>
  <c r="M92" i="13" s="1"/>
  <c r="S93" i="13"/>
  <c r="L93" i="13" s="1"/>
  <c r="M93" i="13" s="1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2" i="13"/>
  <c r="S2" i="13"/>
  <c r="L2" i="13" s="1"/>
  <c r="M2" i="13" s="1"/>
  <c r="P67" i="11"/>
  <c r="P66" i="11"/>
  <c r="P46" i="11"/>
  <c r="P45" i="11"/>
  <c r="P44" i="11"/>
  <c r="P43" i="11"/>
  <c r="P42" i="11"/>
  <c r="P41" i="11"/>
  <c r="P40" i="11"/>
  <c r="P39" i="11"/>
  <c r="P38" i="11"/>
  <c r="P37" i="11"/>
  <c r="P36" i="11"/>
  <c r="P35" i="11"/>
  <c r="P34" i="1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S3" i="11"/>
  <c r="L3" i="11" s="1"/>
  <c r="M3" i="11" s="1"/>
  <c r="S4" i="11"/>
  <c r="L4" i="11" s="1"/>
  <c r="M4" i="11" s="1"/>
  <c r="S5" i="11"/>
  <c r="L5" i="11" s="1"/>
  <c r="M5" i="11" s="1"/>
  <c r="S6" i="11"/>
  <c r="L6" i="11" s="1"/>
  <c r="M6" i="11" s="1"/>
  <c r="S7" i="11"/>
  <c r="L7" i="11" s="1"/>
  <c r="M7" i="11" s="1"/>
  <c r="S8" i="11"/>
  <c r="L8" i="11" s="1"/>
  <c r="M8" i="11" s="1"/>
  <c r="S9" i="11"/>
  <c r="L9" i="11" s="1"/>
  <c r="M9" i="11" s="1"/>
  <c r="S10" i="11"/>
  <c r="L10" i="11" s="1"/>
  <c r="M10" i="11" s="1"/>
  <c r="S11" i="11"/>
  <c r="L11" i="11" s="1"/>
  <c r="M11" i="11" s="1"/>
  <c r="S12" i="11"/>
  <c r="L12" i="11" s="1"/>
  <c r="M12" i="11" s="1"/>
  <c r="S13" i="11"/>
  <c r="L13" i="11" s="1"/>
  <c r="M13" i="11" s="1"/>
  <c r="S14" i="11"/>
  <c r="L14" i="11" s="1"/>
  <c r="M14" i="11" s="1"/>
  <c r="S15" i="11"/>
  <c r="L15" i="11" s="1"/>
  <c r="M15" i="11" s="1"/>
  <c r="S16" i="11"/>
  <c r="L16" i="11" s="1"/>
  <c r="M16" i="11" s="1"/>
  <c r="S17" i="11"/>
  <c r="L17" i="11" s="1"/>
  <c r="S18" i="11"/>
  <c r="L18" i="11" s="1"/>
  <c r="S19" i="11"/>
  <c r="L19" i="11" s="1"/>
  <c r="S20" i="11"/>
  <c r="L20" i="11" s="1"/>
  <c r="S21" i="11"/>
  <c r="L21" i="11" s="1"/>
  <c r="S22" i="11"/>
  <c r="L22" i="11" s="1"/>
  <c r="S23" i="11"/>
  <c r="L23" i="11" s="1"/>
  <c r="S24" i="11"/>
  <c r="L24" i="11" s="1"/>
  <c r="S25" i="11"/>
  <c r="L25" i="11" s="1"/>
  <c r="S26" i="11"/>
  <c r="L26" i="11" s="1"/>
  <c r="S27" i="11"/>
  <c r="L27" i="11" s="1"/>
  <c r="S28" i="11"/>
  <c r="L28" i="11" s="1"/>
  <c r="S29" i="11"/>
  <c r="L29" i="11" s="1"/>
  <c r="S30" i="11"/>
  <c r="L30" i="11" s="1"/>
  <c r="S31" i="11"/>
  <c r="L31" i="11" s="1"/>
  <c r="S32" i="11"/>
  <c r="L32" i="11" s="1"/>
  <c r="S33" i="11"/>
  <c r="L33" i="11" s="1"/>
  <c r="S34" i="11"/>
  <c r="L34" i="11" s="1"/>
  <c r="S35" i="11"/>
  <c r="L35" i="11" s="1"/>
  <c r="S36" i="11"/>
  <c r="L36" i="11" s="1"/>
  <c r="S37" i="11"/>
  <c r="L37" i="11" s="1"/>
  <c r="S38" i="11"/>
  <c r="L38" i="11" s="1"/>
  <c r="S39" i="11"/>
  <c r="L39" i="11" s="1"/>
  <c r="S40" i="11"/>
  <c r="L40" i="11" s="1"/>
  <c r="S41" i="11"/>
  <c r="L41" i="11" s="1"/>
  <c r="S42" i="11"/>
  <c r="L42" i="11" s="1"/>
  <c r="S43" i="11"/>
  <c r="L43" i="11" s="1"/>
  <c r="S44" i="11"/>
  <c r="L44" i="11" s="1"/>
  <c r="S45" i="11"/>
  <c r="L45" i="11" s="1"/>
  <c r="S46" i="11"/>
  <c r="L46" i="11" s="1"/>
  <c r="S47" i="11"/>
  <c r="L47" i="11" s="1"/>
  <c r="M47" i="11" s="1"/>
  <c r="S48" i="11"/>
  <c r="L48" i="11" s="1"/>
  <c r="M48" i="11" s="1"/>
  <c r="S49" i="11"/>
  <c r="L49" i="11" s="1"/>
  <c r="M49" i="11" s="1"/>
  <c r="S50" i="11"/>
  <c r="L50" i="11" s="1"/>
  <c r="M50" i="11" s="1"/>
  <c r="S51" i="11"/>
  <c r="L51" i="11" s="1"/>
  <c r="M51" i="11" s="1"/>
  <c r="S52" i="11"/>
  <c r="L52" i="11" s="1"/>
  <c r="M52" i="11" s="1"/>
  <c r="S53" i="11"/>
  <c r="L53" i="11" s="1"/>
  <c r="M53" i="11" s="1"/>
  <c r="S54" i="11"/>
  <c r="L54" i="11" s="1"/>
  <c r="M54" i="11" s="1"/>
  <c r="S55" i="11"/>
  <c r="L55" i="11" s="1"/>
  <c r="M55" i="11" s="1"/>
  <c r="S56" i="11"/>
  <c r="L56" i="11" s="1"/>
  <c r="M56" i="11" s="1"/>
  <c r="S57" i="11"/>
  <c r="L57" i="11" s="1"/>
  <c r="M57" i="11" s="1"/>
  <c r="S58" i="11"/>
  <c r="L58" i="11" s="1"/>
  <c r="M58" i="11" s="1"/>
  <c r="S59" i="11"/>
  <c r="L59" i="11" s="1"/>
  <c r="M59" i="11" s="1"/>
  <c r="S60" i="11"/>
  <c r="L60" i="11" s="1"/>
  <c r="M60" i="11" s="1"/>
  <c r="S61" i="11"/>
  <c r="L61" i="11" s="1"/>
  <c r="M61" i="11" s="1"/>
  <c r="S62" i="11"/>
  <c r="L62" i="11" s="1"/>
  <c r="M62" i="11" s="1"/>
  <c r="S63" i="11"/>
  <c r="L63" i="11" s="1"/>
  <c r="M63" i="11" s="1"/>
  <c r="S64" i="11"/>
  <c r="L64" i="11" s="1"/>
  <c r="M64" i="11" s="1"/>
  <c r="S65" i="11"/>
  <c r="L65" i="11" s="1"/>
  <c r="M65" i="11" s="1"/>
  <c r="S2" i="11"/>
  <c r="L2" i="11" s="1"/>
  <c r="M2" i="11" s="1"/>
  <c r="O1" i="10"/>
  <c r="G1" i="10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2" i="7"/>
  <c r="P5" i="1" l="1"/>
  <c r="P6" i="1"/>
  <c r="P7" i="1"/>
  <c r="P8" i="1"/>
  <c r="P9" i="1"/>
  <c r="P10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61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126" i="1"/>
  <c r="P131" i="1"/>
  <c r="P132" i="1"/>
  <c r="P136" i="1"/>
  <c r="P137" i="1"/>
  <c r="P148" i="1"/>
  <c r="O156" i="1"/>
  <c r="P156" i="1" s="1"/>
  <c r="O155" i="1"/>
  <c r="P155" i="1" s="1"/>
  <c r="O154" i="1"/>
  <c r="P154" i="1" s="1"/>
  <c r="O153" i="1"/>
  <c r="P153" i="1" s="1"/>
  <c r="O152" i="1"/>
  <c r="P152" i="1" s="1"/>
  <c r="O151" i="1"/>
  <c r="P151" i="1" s="1"/>
  <c r="O150" i="1"/>
  <c r="P150" i="1" s="1"/>
  <c r="O149" i="1"/>
  <c r="P149" i="1" s="1"/>
  <c r="O148" i="1"/>
  <c r="O147" i="1"/>
  <c r="P147" i="1" s="1"/>
  <c r="O146" i="1"/>
  <c r="P146" i="1" s="1"/>
  <c r="O145" i="1"/>
  <c r="P145" i="1" s="1"/>
  <c r="O144" i="1"/>
  <c r="P144" i="1" s="1"/>
  <c r="O143" i="1"/>
  <c r="P143" i="1" s="1"/>
  <c r="O142" i="1"/>
  <c r="P142" i="1" s="1"/>
  <c r="O141" i="1"/>
  <c r="P141" i="1" s="1"/>
  <c r="O140" i="1"/>
  <c r="P140" i="1" s="1"/>
  <c r="O139" i="1"/>
  <c r="P139" i="1" s="1"/>
  <c r="O138" i="1"/>
  <c r="P138" i="1" s="1"/>
  <c r="O135" i="1"/>
  <c r="P135" i="1" s="1"/>
  <c r="O134" i="1"/>
  <c r="P134" i="1" s="1"/>
  <c r="O133" i="1"/>
  <c r="P133" i="1" s="1"/>
  <c r="O130" i="1"/>
  <c r="P130" i="1" s="1"/>
  <c r="O129" i="1"/>
  <c r="P129" i="1" s="1"/>
  <c r="O128" i="1"/>
  <c r="P128" i="1" s="1"/>
  <c r="O127" i="1"/>
  <c r="P127" i="1" s="1"/>
  <c r="O126" i="1"/>
  <c r="O125" i="1"/>
  <c r="P125" i="1" s="1"/>
  <c r="O124" i="1"/>
  <c r="P124" i="1" s="1"/>
  <c r="O123" i="1"/>
  <c r="P123" i="1" s="1"/>
  <c r="O122" i="1"/>
  <c r="P122" i="1" s="1"/>
  <c r="O121" i="1"/>
  <c r="P121" i="1" s="1"/>
  <c r="O120" i="1"/>
  <c r="P120" i="1" s="1"/>
  <c r="O119" i="1"/>
  <c r="P119" i="1" s="1"/>
  <c r="O118" i="1"/>
  <c r="P118" i="1" s="1"/>
  <c r="O117" i="1"/>
  <c r="P117" i="1" s="1"/>
  <c r="O116" i="1"/>
  <c r="P116" i="1" s="1"/>
  <c r="O115" i="1"/>
  <c r="P115" i="1" s="1"/>
  <c r="O114" i="1"/>
  <c r="P114" i="1" s="1"/>
  <c r="O113" i="1"/>
  <c r="P113" i="1" s="1"/>
  <c r="O112" i="1"/>
  <c r="P112" i="1" s="1"/>
  <c r="O111" i="1"/>
  <c r="P111" i="1" s="1"/>
  <c r="O110" i="1"/>
  <c r="P110" i="1" s="1"/>
  <c r="O109" i="1"/>
  <c r="P109" i="1" s="1"/>
  <c r="O108" i="1"/>
  <c r="P108" i="1" s="1"/>
  <c r="O107" i="1"/>
  <c r="P107" i="1" s="1"/>
  <c r="O106" i="1"/>
  <c r="P106" i="1" s="1"/>
  <c r="O105" i="1"/>
  <c r="P105" i="1" s="1"/>
  <c r="O104" i="1"/>
  <c r="P104" i="1" s="1"/>
  <c r="O103" i="1"/>
  <c r="P103" i="1" s="1"/>
  <c r="O102" i="1"/>
  <c r="P102" i="1" s="1"/>
  <c r="O101" i="1"/>
  <c r="P101" i="1" s="1"/>
  <c r="O100" i="1"/>
  <c r="P100" i="1" s="1"/>
  <c r="O99" i="1"/>
  <c r="P99" i="1" s="1"/>
  <c r="O98" i="1"/>
  <c r="P98" i="1" s="1"/>
  <c r="O97" i="1"/>
  <c r="P97" i="1" s="1"/>
  <c r="O96" i="1"/>
  <c r="P96" i="1" s="1"/>
  <c r="O95" i="1"/>
  <c r="P95" i="1" s="1"/>
  <c r="O94" i="1"/>
  <c r="P94" i="1" s="1"/>
  <c r="O93" i="1"/>
  <c r="P93" i="1" s="1"/>
  <c r="O92" i="1"/>
  <c r="P92" i="1" s="1"/>
  <c r="O91" i="1"/>
  <c r="P91" i="1" s="1"/>
  <c r="O90" i="1"/>
  <c r="P90" i="1" s="1"/>
  <c r="O89" i="1"/>
  <c r="P89" i="1" s="1"/>
  <c r="O66" i="1"/>
  <c r="P66" i="1" s="1"/>
  <c r="O65" i="1"/>
  <c r="P65" i="1" s="1"/>
  <c r="O64" i="1"/>
  <c r="P64" i="1" s="1"/>
  <c r="O63" i="1"/>
  <c r="P63" i="1" s="1"/>
  <c r="O62" i="1"/>
  <c r="P62" i="1" s="1"/>
  <c r="O60" i="1"/>
  <c r="P60" i="1" s="1"/>
  <c r="O59" i="1"/>
  <c r="P59" i="1" s="1"/>
  <c r="O11" i="1"/>
  <c r="P11" i="1" s="1"/>
  <c r="O4" i="1"/>
  <c r="P4" i="1" s="1"/>
  <c r="O3" i="1"/>
  <c r="P3" i="1" s="1"/>
  <c r="S3" i="1" l="1"/>
  <c r="L3" i="1" s="1"/>
  <c r="S4" i="1"/>
  <c r="L4" i="1" s="1"/>
  <c r="S5" i="1"/>
  <c r="L5" i="1" s="1"/>
  <c r="M5" i="1" s="1"/>
  <c r="S6" i="1"/>
  <c r="L6" i="1" s="1"/>
  <c r="M6" i="1" s="1"/>
  <c r="S7" i="1"/>
  <c r="L7" i="1" s="1"/>
  <c r="M7" i="1" s="1"/>
  <c r="S8" i="1"/>
  <c r="L8" i="1" s="1"/>
  <c r="M8" i="1" s="1"/>
  <c r="S9" i="1"/>
  <c r="L9" i="1" s="1"/>
  <c r="M9" i="1" s="1"/>
  <c r="S10" i="1"/>
  <c r="L10" i="1" s="1"/>
  <c r="M10" i="1" s="1"/>
  <c r="S11" i="1"/>
  <c r="L11" i="1" s="1"/>
  <c r="S12" i="1"/>
  <c r="L12" i="1" s="1"/>
  <c r="M12" i="1" s="1"/>
  <c r="S13" i="1"/>
  <c r="S14" i="1"/>
  <c r="L14" i="1" s="1"/>
  <c r="M14" i="1" s="1"/>
  <c r="S15" i="1"/>
  <c r="L15" i="1" s="1"/>
  <c r="M15" i="1" s="1"/>
  <c r="S16" i="1"/>
  <c r="L16" i="1" s="1"/>
  <c r="M16" i="1" s="1"/>
  <c r="S17" i="1"/>
  <c r="L17" i="1" s="1"/>
  <c r="M17" i="1" s="1"/>
  <c r="S18" i="1"/>
  <c r="L18" i="1" s="1"/>
  <c r="M18" i="1" s="1"/>
  <c r="S19" i="1"/>
  <c r="L19" i="1" s="1"/>
  <c r="M19" i="1" s="1"/>
  <c r="S20" i="1"/>
  <c r="L20" i="1" s="1"/>
  <c r="M20" i="1" s="1"/>
  <c r="S21" i="1"/>
  <c r="L21" i="1" s="1"/>
  <c r="M21" i="1" s="1"/>
  <c r="S22" i="1"/>
  <c r="L22" i="1" s="1"/>
  <c r="M22" i="1" s="1"/>
  <c r="S23" i="1"/>
  <c r="L23" i="1" s="1"/>
  <c r="M23" i="1" s="1"/>
  <c r="S24" i="1"/>
  <c r="L24" i="1" s="1"/>
  <c r="M24" i="1" s="1"/>
  <c r="S25" i="1"/>
  <c r="S26" i="1"/>
  <c r="L26" i="1" s="1"/>
  <c r="M26" i="1" s="1"/>
  <c r="S27" i="1"/>
  <c r="L27" i="1" s="1"/>
  <c r="M27" i="1" s="1"/>
  <c r="S28" i="1"/>
  <c r="L28" i="1" s="1"/>
  <c r="M28" i="1" s="1"/>
  <c r="S29" i="1"/>
  <c r="L29" i="1" s="1"/>
  <c r="M29" i="1" s="1"/>
  <c r="S30" i="1"/>
  <c r="L30" i="1" s="1"/>
  <c r="M30" i="1" s="1"/>
  <c r="S31" i="1"/>
  <c r="L31" i="1" s="1"/>
  <c r="M31" i="1" s="1"/>
  <c r="S32" i="1"/>
  <c r="L32" i="1" s="1"/>
  <c r="M32" i="1" s="1"/>
  <c r="S33" i="1"/>
  <c r="L33" i="1" s="1"/>
  <c r="M33" i="1" s="1"/>
  <c r="S34" i="1"/>
  <c r="L34" i="1" s="1"/>
  <c r="M34" i="1" s="1"/>
  <c r="S35" i="1"/>
  <c r="L35" i="1" s="1"/>
  <c r="M35" i="1" s="1"/>
  <c r="S36" i="1"/>
  <c r="L36" i="1" s="1"/>
  <c r="M36" i="1" s="1"/>
  <c r="S37" i="1"/>
  <c r="S38" i="1"/>
  <c r="L38" i="1" s="1"/>
  <c r="M38" i="1" s="1"/>
  <c r="S39" i="1"/>
  <c r="L39" i="1" s="1"/>
  <c r="M39" i="1" s="1"/>
  <c r="S40" i="1"/>
  <c r="L40" i="1" s="1"/>
  <c r="M40" i="1" s="1"/>
  <c r="S41" i="1"/>
  <c r="L41" i="1" s="1"/>
  <c r="M41" i="1" s="1"/>
  <c r="S42" i="1"/>
  <c r="L42" i="1" s="1"/>
  <c r="M42" i="1" s="1"/>
  <c r="S43" i="1"/>
  <c r="L43" i="1" s="1"/>
  <c r="M43" i="1" s="1"/>
  <c r="S44" i="1"/>
  <c r="L44" i="1" s="1"/>
  <c r="M44" i="1" s="1"/>
  <c r="S45" i="1"/>
  <c r="L45" i="1" s="1"/>
  <c r="M45" i="1" s="1"/>
  <c r="S46" i="1"/>
  <c r="L46" i="1" s="1"/>
  <c r="M46" i="1" s="1"/>
  <c r="S47" i="1"/>
  <c r="L47" i="1" s="1"/>
  <c r="M47" i="1" s="1"/>
  <c r="S48" i="1"/>
  <c r="L48" i="1" s="1"/>
  <c r="M48" i="1" s="1"/>
  <c r="S49" i="1"/>
  <c r="S50" i="1"/>
  <c r="L50" i="1" s="1"/>
  <c r="M50" i="1" s="1"/>
  <c r="S51" i="1"/>
  <c r="L51" i="1" s="1"/>
  <c r="M51" i="1" s="1"/>
  <c r="S52" i="1"/>
  <c r="L52" i="1" s="1"/>
  <c r="M52" i="1" s="1"/>
  <c r="S53" i="1"/>
  <c r="L53" i="1" s="1"/>
  <c r="M53" i="1" s="1"/>
  <c r="S54" i="1"/>
  <c r="L54" i="1" s="1"/>
  <c r="M54" i="1" s="1"/>
  <c r="S55" i="1"/>
  <c r="L55" i="1" s="1"/>
  <c r="M55" i="1" s="1"/>
  <c r="S56" i="1"/>
  <c r="L56" i="1" s="1"/>
  <c r="M56" i="1" s="1"/>
  <c r="S57" i="1"/>
  <c r="L57" i="1" s="1"/>
  <c r="M57" i="1" s="1"/>
  <c r="S58" i="1"/>
  <c r="L58" i="1" s="1"/>
  <c r="M58" i="1" s="1"/>
  <c r="S59" i="1"/>
  <c r="L59" i="1" s="1"/>
  <c r="S60" i="1"/>
  <c r="L60" i="1" s="1"/>
  <c r="S61" i="1"/>
  <c r="S62" i="1"/>
  <c r="S63" i="1"/>
  <c r="S64" i="1"/>
  <c r="S65" i="1"/>
  <c r="S66" i="1"/>
  <c r="S67" i="1"/>
  <c r="L67" i="1" s="1"/>
  <c r="M67" i="1" s="1"/>
  <c r="S68" i="1"/>
  <c r="L68" i="1" s="1"/>
  <c r="M68" i="1" s="1"/>
  <c r="S69" i="1"/>
  <c r="L69" i="1" s="1"/>
  <c r="M69" i="1" s="1"/>
  <c r="S70" i="1"/>
  <c r="L70" i="1" s="1"/>
  <c r="M70" i="1" s="1"/>
  <c r="S71" i="1"/>
  <c r="L71" i="1" s="1"/>
  <c r="M71" i="1" s="1"/>
  <c r="S72" i="1"/>
  <c r="L72" i="1" s="1"/>
  <c r="M72" i="1" s="1"/>
  <c r="S73" i="1"/>
  <c r="S74" i="1"/>
  <c r="L74" i="1" s="1"/>
  <c r="M74" i="1" s="1"/>
  <c r="S75" i="1"/>
  <c r="L75" i="1" s="1"/>
  <c r="M75" i="1" s="1"/>
  <c r="S76" i="1"/>
  <c r="L76" i="1" s="1"/>
  <c r="M76" i="1" s="1"/>
  <c r="S77" i="1"/>
  <c r="L77" i="1" s="1"/>
  <c r="M77" i="1" s="1"/>
  <c r="S78" i="1"/>
  <c r="S79" i="1"/>
  <c r="L79" i="1" s="1"/>
  <c r="M79" i="1" s="1"/>
  <c r="S80" i="1"/>
  <c r="L80" i="1" s="1"/>
  <c r="M80" i="1" s="1"/>
  <c r="S81" i="1"/>
  <c r="L81" i="1" s="1"/>
  <c r="M81" i="1" s="1"/>
  <c r="S82" i="1"/>
  <c r="L82" i="1" s="1"/>
  <c r="M82" i="1" s="1"/>
  <c r="S83" i="1"/>
  <c r="L83" i="1" s="1"/>
  <c r="M83" i="1" s="1"/>
  <c r="S84" i="1"/>
  <c r="L84" i="1" s="1"/>
  <c r="M84" i="1" s="1"/>
  <c r="S85" i="1"/>
  <c r="S86" i="1"/>
  <c r="L86" i="1" s="1"/>
  <c r="M86" i="1" s="1"/>
  <c r="S87" i="1"/>
  <c r="L87" i="1" s="1"/>
  <c r="M87" i="1" s="1"/>
  <c r="S88" i="1"/>
  <c r="L88" i="1" s="1"/>
  <c r="M88" i="1" s="1"/>
  <c r="S89" i="1"/>
  <c r="S90" i="1"/>
  <c r="S91" i="1"/>
  <c r="S92" i="1"/>
  <c r="S93" i="1"/>
  <c r="S94" i="1"/>
  <c r="S95" i="1"/>
  <c r="S96" i="1"/>
  <c r="S97" i="1"/>
  <c r="S98" i="1"/>
  <c r="L98" i="1" s="1"/>
  <c r="S99" i="1"/>
  <c r="L99" i="1" s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L131" i="1" s="1"/>
  <c r="M131" i="1" s="1"/>
  <c r="S132" i="1"/>
  <c r="L132" i="1" s="1"/>
  <c r="M132" i="1" s="1"/>
  <c r="S133" i="1"/>
  <c r="S134" i="1"/>
  <c r="S135" i="1"/>
  <c r="S136" i="1"/>
  <c r="L136" i="1" s="1"/>
  <c r="M136" i="1" s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L97" i="1" l="1"/>
  <c r="L85" i="1"/>
  <c r="M85" i="1" s="1"/>
  <c r="L73" i="1"/>
  <c r="M73" i="1" s="1"/>
  <c r="L61" i="1"/>
  <c r="M61" i="1" s="1"/>
  <c r="L49" i="1"/>
  <c r="M49" i="1" s="1"/>
  <c r="L37" i="1"/>
  <c r="M37" i="1" s="1"/>
  <c r="L25" i="1"/>
  <c r="M25" i="1" s="1"/>
  <c r="L13" i="1"/>
  <c r="M13" i="1" s="1"/>
  <c r="L78" i="1"/>
  <c r="M78" i="1" s="1"/>
  <c r="L137" i="1"/>
  <c r="M1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User2</author>
  </authors>
  <commentList>
    <comment ref="O1" authorId="0" shapeId="0" xr:uid="{0F593619-176D-40DF-9493-8564A2A9CB13}">
      <text>
        <r>
          <rPr>
            <b/>
            <sz val="9"/>
            <color indexed="81"/>
            <rFont val="Tahoma"/>
            <family val="2"/>
          </rPr>
          <t xml:space="preserve">ນະວັນທີ 31/12/2025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User2</author>
  </authors>
  <commentList>
    <comment ref="N1" authorId="0" shapeId="0" xr:uid="{C9678D0B-8A36-4A6A-A8D4-9C2B2BF2D632}">
      <text>
        <r>
          <rPr>
            <b/>
            <sz val="9"/>
            <color indexed="81"/>
            <rFont val="Tahoma"/>
            <family val="2"/>
          </rPr>
          <t xml:space="preserve">ນະວັນທີ 31/12/2025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User2</author>
  </authors>
  <commentList>
    <comment ref="O1" authorId="0" shapeId="0" xr:uid="{9F48D79D-065B-4F2F-A2CF-C1C8A975FADA}">
      <text>
        <r>
          <rPr>
            <b/>
            <sz val="9"/>
            <color indexed="81"/>
            <rFont val="Tahoma"/>
            <family val="2"/>
          </rPr>
          <t xml:space="preserve">ນະວັນທີ 31/12/2025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User2</author>
  </authors>
  <commentList>
    <comment ref="O1" authorId="0" shapeId="0" xr:uid="{907FB4E0-472E-4338-8F61-7B887E4DC43C}">
      <text>
        <r>
          <rPr>
            <b/>
            <sz val="9"/>
            <color indexed="81"/>
            <rFont val="Tahoma"/>
            <family val="2"/>
          </rPr>
          <t xml:space="preserve">ນະວັນທີ 31/12/2025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User2</author>
  </authors>
  <commentList>
    <comment ref="O1" authorId="0" shapeId="0" xr:uid="{98CB6143-8BA8-4D53-A3E9-9BAA261FFA01}">
      <text>
        <r>
          <rPr>
            <b/>
            <sz val="9"/>
            <color indexed="81"/>
            <rFont val="Tahoma"/>
            <family val="2"/>
          </rPr>
          <t xml:space="preserve">ນະວັນທີ 31/12/2025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User2</author>
  </authors>
  <commentList>
    <comment ref="O1" authorId="0" shapeId="0" xr:uid="{9E984C79-79CB-4EEA-A517-114C2C8A7CCF}">
      <text>
        <r>
          <rPr>
            <b/>
            <sz val="9"/>
            <color indexed="81"/>
            <rFont val="Tahoma"/>
            <family val="2"/>
          </rPr>
          <t xml:space="preserve">ນະວັນທີ 31/12/2025
</t>
        </r>
      </text>
    </comment>
  </commentList>
</comments>
</file>

<file path=xl/sharedStrings.xml><?xml version="1.0" encoding="utf-8"?>
<sst xmlns="http://schemas.openxmlformats.org/spreadsheetml/2006/main" count="6458" uniqueCount="1053">
  <si>
    <t xml:space="preserve"> Table ຊື້ໂຕະນ້ອຍ ເພື່ອວ່າງໝໍ້ນ້ຳຮ້ອນ ຊັ້ນວາງ2ຊັ້ນ</t>
  </si>
  <si>
    <t>Posting</t>
  </si>
  <si>
    <t>Straight</t>
  </si>
  <si>
    <t xml:space="preserve">( Table ' Desk ) ໂຕະໄມ້ເຮັດວຽກ 1 ໜ່ວຍ (700.000 ກີບ )  </t>
  </si>
  <si>
    <t>Cabinet ຕູ້ 4 ຊັ້ນໃສ່ເອກະສານ 1 ໜ້ວຍ (1.500.000 ກີບ )</t>
  </si>
  <si>
    <t>Cabinet ເບີກລ່ວງໜ້າ'ຊື້ຕູ້ໃສ່ເອກະສານ 3 ຊັ້ນ ໃຫ້ສາຂາຂົວມິດຕະພາບ 1 ໜ່ວຍ 4.000 ບາດ'ຈ່າຍໃຫ້ຮ້ານ ນາງຫົງ+ສົມມາດ 'SOMMATH DAMHOUNGHUEANG MR 090 11 02 00297541 001</t>
  </si>
  <si>
    <t>CHAIR MONO A4-47 W55*D59*H90-103CM ຕັ່ງນັ່ງເຮັດວຽກ</t>
  </si>
  <si>
    <t>*F-29022024-36*</t>
  </si>
  <si>
    <t>*F-29022024-37*</t>
  </si>
  <si>
    <t>*F-30072024-39*</t>
  </si>
  <si>
    <t xml:space="preserve">CHAIR Office </t>
  </si>
  <si>
    <t>Company LOGO</t>
  </si>
  <si>
    <t xml:space="preserve">Desk ຕັ່ງເຮັດວຽກ 1 ໜ້ວຍ (600.000 ກີບ )+50,000 ກີບ </t>
  </si>
  <si>
    <t xml:space="preserve">D-Work AB-V20-2412A 246x122x102cm ຊຸດໂຕະເຮັດວຽກ </t>
  </si>
  <si>
    <t>*F-08112024-41*</t>
  </si>
  <si>
    <t>*F-08112024-42*</t>
  </si>
  <si>
    <t>*F-08112024-43*</t>
  </si>
  <si>
    <t>*F-08112024-44*</t>
  </si>
  <si>
    <t>D-Work J059 56*75*109CM ຕັ່ງຫ້ອງການ</t>
  </si>
  <si>
    <t>*F-14102024-9*</t>
  </si>
  <si>
    <t>*F-14102024-10*</t>
  </si>
  <si>
    <t>*F-14102024-11*</t>
  </si>
  <si>
    <t>*F-14102024-12*</t>
  </si>
  <si>
    <t>*F-14102024-13*</t>
  </si>
  <si>
    <t>*F-14102024-14*</t>
  </si>
  <si>
    <t>*F-14102024-15*</t>
  </si>
  <si>
    <t>*F-14102024-16*</t>
  </si>
  <si>
    <t>*F-14102024-17*</t>
  </si>
  <si>
    <t>*F-14102024-18*</t>
  </si>
  <si>
    <t>*F-14102024-19*</t>
  </si>
  <si>
    <t>*F-14102024-20*</t>
  </si>
  <si>
    <t>*F-14102024-21*</t>
  </si>
  <si>
    <t>*F-14102024-22*</t>
  </si>
  <si>
    <t>*F-14102024-23*</t>
  </si>
  <si>
    <t>*F-14102024-24*</t>
  </si>
  <si>
    <t>*F-14102024-25*</t>
  </si>
  <si>
    <t>*F-14102024-26*</t>
  </si>
  <si>
    <t>*F-14102024-27*</t>
  </si>
  <si>
    <t>*F-14102024-28*</t>
  </si>
  <si>
    <t>*F-14102024-29*</t>
  </si>
  <si>
    <t>*F-14102024-30*</t>
  </si>
  <si>
    <t>*F-14102024-31*</t>
  </si>
  <si>
    <t>*F-14102024-32*</t>
  </si>
  <si>
    <t>*F-14102024-33*</t>
  </si>
  <si>
    <t>MEETING ROOM</t>
  </si>
  <si>
    <t>*F-45957-689*</t>
  </si>
  <si>
    <t>Mono-A47 ຕັ່ງຫ້ອງການ</t>
  </si>
  <si>
    <t>*F-02052024-6*</t>
  </si>
  <si>
    <t>*F-02052024-8*</t>
  </si>
  <si>
    <t>Partition W100*D160*H110cm (ສາກກັ້ນພ້ອມໂຕະ)</t>
  </si>
  <si>
    <t>*F-02052024-1*</t>
  </si>
  <si>
    <t>*F-02052024-2*</t>
  </si>
  <si>
    <t>*F-02052024-3*</t>
  </si>
  <si>
    <t>*F-02052024-4*</t>
  </si>
  <si>
    <t>Smart form FC743 47*62*101cm ຕູ້ເອກະສານ 3ລີ້ນຊັກ</t>
  </si>
  <si>
    <t>*O-02052024-003*</t>
  </si>
  <si>
    <t>Smart form OD-40 120*67*75cm ໂຕະເຫຼັກ</t>
  </si>
  <si>
    <t>*F-02052024-5*</t>
  </si>
  <si>
    <t>Smart form OD-40 120*67*75cm ໂຕະເຫຼັກ ຂຽວ</t>
  </si>
  <si>
    <t>*F-02052024-7*</t>
  </si>
  <si>
    <t>Sun Protection meeting room</t>
  </si>
  <si>
    <t>Table 2units for Adm and IT staffs</t>
  </si>
  <si>
    <t>Table for UW department</t>
  </si>
  <si>
    <t>Table smartform OD-40 W120*60*H75CM ໂຕະເຫຼັກຂຽວ</t>
  </si>
  <si>
    <t>*F-29022024-34*</t>
  </si>
  <si>
    <t>*F-29022024-35*</t>
  </si>
  <si>
    <t>*F-30072024-38*</t>
  </si>
  <si>
    <t xml:space="preserve">Table ຄ່າໂຕະໄມ້  ຕັ່ງນັ່ງເຮັດວຽກ 1 ໜ່ວຍ (450.000 ກີບ ) ຂອງພະນັກງານໃຫມ່ </t>
  </si>
  <si>
    <t>Table ຊື້ໂຕະວາງເອກະສານ ໂຕະຂາວ ໃຫ້ສາຂາຂົວມິດຕະພາບ ຝ່າຍປະກັນໄພ ຈຳນວນ 1.200 ບາດ</t>
  </si>
  <si>
    <t>Table ຕັ່ງຮັບແຂກ 4 ໜ່ວຍ *35.000 ກີບ (140.000 ກີບ )</t>
  </si>
  <si>
    <t>Table ໂຕະຮັບແຂກ (300.000 ກີບ)</t>
  </si>
  <si>
    <t>Table ໂຕະໄມ້ ( 700.000 ກີບ ) . . . .</t>
  </si>
  <si>
    <t>Work station</t>
  </si>
  <si>
    <t>ກະດານຂາວປະຊຸມ</t>
  </si>
  <si>
    <t>ກະດານຂຽວແຈ້ງການ</t>
  </si>
  <si>
    <t>ຊື້ຕັ່ງໃໝ່ 18 ໜ່ວຍ ໃສ່ຫ້ອງປະຊຸມໃຫຍ່</t>
  </si>
  <si>
    <t>*F-45838-664*</t>
  </si>
  <si>
    <t>*F-45838-665*</t>
  </si>
  <si>
    <t>*F-45838-666*</t>
  </si>
  <si>
    <t>*F-45838-667*</t>
  </si>
  <si>
    <t>*F-45838-668*</t>
  </si>
  <si>
    <t>*F-45838-669*</t>
  </si>
  <si>
    <t>*F-45838-670*</t>
  </si>
  <si>
    <t>*F-45838-671*</t>
  </si>
  <si>
    <t>*F-45838-672*</t>
  </si>
  <si>
    <t>*F-45838-673*</t>
  </si>
  <si>
    <t>*F-45838-674*</t>
  </si>
  <si>
    <t>*F-45838-675*</t>
  </si>
  <si>
    <t>*F-45838-676*</t>
  </si>
  <si>
    <t>*F-45838-677*</t>
  </si>
  <si>
    <t>*F-45838-678*</t>
  </si>
  <si>
    <t>*F-45838-679*</t>
  </si>
  <si>
    <t>*F-45838-680*</t>
  </si>
  <si>
    <t>*F-45838-681*</t>
  </si>
  <si>
    <t>ຊື້ໂຕະຫ້ອງການມີສາກກັ້ນ 03 ເຊັດ ລວມທັງໝົດ 12 ບ່ອນນັ່ງ  AP24120319</t>
  </si>
  <si>
    <t>*F-30122024-414*</t>
  </si>
  <si>
    <t>ຊື້ໂຕະເຫຼັກ + ຕັ່ງນັ່ງເຮັດວຽກ 1 ຊຸດ ໃຫ້ຫ້ອງການໃຫມ່ ສາຂາ ຈຳປາສັກ ( 7.100.000 ກີບ ) ຊື້ຮ້ານ ສິລິສົມບູນ ອອກຊື່ບັນຊີ 'ນາງ ສຸດາລັດ ບຸຜາສະຫວັນ 1. ໂຕະເຫຼັກ 1 ໜ່ວຍ ( 5.000 ບາດ) 2. ຕັ່ງນັ່ງເຮັດວຽກ 1 ໜ່ວຍ ( 2.100 ບາດ) . . . . . .</t>
  </si>
  <si>
    <t>ຊື້ໂຕະເຫຼັກ + ຕັ່ງນັ່ງເຮັດວຽກ 1 ຊຸດ ໃຫ້ຫ້ອງການໃຫມ່ ສາຂາສະຫວັນນະເຂດ ( 7.100.000 ກີບ ) ຊື້ຮ້ານ ນາງ ແບ໋ ບຸນທະວີຫຼັກ4 ອອກຊື່ບັນຊີ 'BOUNTHAVY XAYYAVONG MR 1. ໂຕະເຫຼັກ 1 ໜ່ວຍ ( 4.600 ບາດ) 2. ຕັ່ງນັ່ງເຮັດວຽກ 1 ໜ່ວຍ ( 2.500 ບາດ) . . . . . .</t>
  </si>
  <si>
    <t>ຊູດໂຕະນັ່ງເຮັດວຽກພ້ອມສາກກັ້ນ 6 ບ່ອນນັ່ງຕິດກັນ</t>
  </si>
  <si>
    <t>*F-45863-663*</t>
  </si>
  <si>
    <t>ຕູ້ນໍ້າເຢັນ</t>
  </si>
  <si>
    <t>ຕູ້ເຊບ</t>
  </si>
  <si>
    <t xml:space="preserve">ຕູ້ເອກະສານ </t>
  </si>
  <si>
    <t>ຕູ້ເອກະສານ 2ຊັ້ນ</t>
  </si>
  <si>
    <t>ຕູ້ເອກະສານ 3 ຊັ້ນ</t>
  </si>
  <si>
    <t>ຕູ້ເອກະສານເຫຼັກ  3ຊັ້ນ</t>
  </si>
  <si>
    <t>ຕູ້ເອກະສານເຫຼັກ 3ຊັ້ນ</t>
  </si>
  <si>
    <t>ຕູ້ເອກະສານແວ່ນ</t>
  </si>
  <si>
    <t>ຕູ້ໃສ່ຖ້ວຍ</t>
  </si>
  <si>
    <t>ຕັ່ງ</t>
  </si>
  <si>
    <t>ຕັ່ງມົນ</t>
  </si>
  <si>
    <t>ຕັ່ງຮັບແຂກ</t>
  </si>
  <si>
    <t>ຕັ້ງຮັບແຂກ</t>
  </si>
  <si>
    <t>ບ໋ອກໄມ້(ບໍ່ມີລີ່ນຊັກ)</t>
  </si>
  <si>
    <t>ເບີກລ່ວງໜ້າ ຊື້ປະຕິຊັນໂຕະ 2 ລ່ອກ ໃຫ້ພະນັກງານມາໃຫມ່ 2 ຄົນ ( 15.120 ບາດ) ບັນຊີ 1 ຄົນ + ການຕະຫຼາດ 1 ຄົນ 1. ໂຕະ 2 ລ໋ອກ ( 15.000 ບາດ) 2. ຄ່າທຳນຽມໂອນ (ອ້າຍມົນຕີ) 120 ບາດ ລວມ (15.120 ບາດ) . . . . .</t>
  </si>
  <si>
    <t>ເບີກລ່ວງໜ້າ ຊື້ພາທີຊັ່ນ MOTECT 4 ບ່ອນນັ່ງ 100CM*120CM (30.160 ບາດ ) 1. ພາທີຊັນ 2 ຊຸດ * 15.000 ບາດ = 30.000 ບາດ 2. ຄ່າທຳນຽມໂອນອ້າຍມົນຕີ (160 ບາດ) ລວມ 30.160 ບາດ . . . . . .</t>
  </si>
  <si>
    <t>ໂຕະ</t>
  </si>
  <si>
    <t>ໂຕະຕົວ oac</t>
  </si>
  <si>
    <t>ໂຕະຕົວແທນກຸ້ງສີນວນຈັນ</t>
  </si>
  <si>
    <t>ໂຕະນັ່ງເຮັດວຽກ</t>
  </si>
  <si>
    <t>*F-45894-685*</t>
  </si>
  <si>
    <t>*F-45894-686*</t>
  </si>
  <si>
    <t>ໂຕະປະຊຸມ</t>
  </si>
  <si>
    <t>ໂຕະມົນຮັບແຂກ</t>
  </si>
  <si>
    <t>ໂຕະວາງເອກະສານ</t>
  </si>
  <si>
    <t>ໂຕະເຫຼັກ</t>
  </si>
  <si>
    <t>ໂຕະເຫຼັກ(ລີ່ນຊັກ)</t>
  </si>
  <si>
    <t>ໂຕະໂຄ້ງຜູ້ບໍລິຫານ</t>
  </si>
  <si>
    <t>ໂຕະໄມ້</t>
  </si>
  <si>
    <t>ໂຕະໄມ້(ບໍ່ມີລີ່ນຊັກ)</t>
  </si>
  <si>
    <t>ໂຕະໄມ້(ລີ່ນຊັກ)</t>
  </si>
  <si>
    <t>Item No.</t>
  </si>
  <si>
    <t>Item Description</t>
  </si>
  <si>
    <t>Asset Class</t>
  </si>
  <si>
    <t>start date</t>
  </si>
  <si>
    <t>Depreciation Area</t>
  </si>
  <si>
    <t>Depreciation Start Date</t>
  </si>
  <si>
    <t>Useful Life</t>
  </si>
  <si>
    <t>Depreciation Type</t>
  </si>
  <si>
    <t>apc</t>
  </si>
  <si>
    <t>Salvage Value</t>
  </si>
  <si>
    <t>Asset Quantity</t>
  </si>
  <si>
    <t>Remaining Life</t>
  </si>
  <si>
    <t>Item Group</t>
  </si>
  <si>
    <t>Accumulated Ordinary Depr.</t>
  </si>
  <si>
    <t>APC</t>
  </si>
  <si>
    <t>Code</t>
  </si>
  <si>
    <t>FF0001</t>
  </si>
  <si>
    <t>FF0002</t>
  </si>
  <si>
    <t>FF0003</t>
  </si>
  <si>
    <t>FF0004</t>
  </si>
  <si>
    <t>FF0005</t>
  </si>
  <si>
    <t>FF0006</t>
  </si>
  <si>
    <t>FF0007</t>
  </si>
  <si>
    <t>FF0008</t>
  </si>
  <si>
    <t>FF0009</t>
  </si>
  <si>
    <t>FF0010</t>
  </si>
  <si>
    <t>FF0011</t>
  </si>
  <si>
    <t>FF0012</t>
  </si>
  <si>
    <t>FF0013</t>
  </si>
  <si>
    <t>FF0014</t>
  </si>
  <si>
    <t>FF0015</t>
  </si>
  <si>
    <t>FF0016</t>
  </si>
  <si>
    <t>FF0017</t>
  </si>
  <si>
    <t>FF0018</t>
  </si>
  <si>
    <t>FF0019</t>
  </si>
  <si>
    <t>FF0020</t>
  </si>
  <si>
    <t>FF0021</t>
  </si>
  <si>
    <t>FF0022</t>
  </si>
  <si>
    <t>FF0023</t>
  </si>
  <si>
    <t>FF0024</t>
  </si>
  <si>
    <t>FF0025</t>
  </si>
  <si>
    <t>FF0026</t>
  </si>
  <si>
    <t>FF0027</t>
  </si>
  <si>
    <t>FF0028</t>
  </si>
  <si>
    <t>FF0029</t>
  </si>
  <si>
    <t>FF0030</t>
  </si>
  <si>
    <t>FF0031</t>
  </si>
  <si>
    <t>FF0032</t>
  </si>
  <si>
    <t>FF0033</t>
  </si>
  <si>
    <t>FF0034</t>
  </si>
  <si>
    <t>FF0035</t>
  </si>
  <si>
    <t>FF0036</t>
  </si>
  <si>
    <t>FF0037</t>
  </si>
  <si>
    <t>FF0038</t>
  </si>
  <si>
    <t>FF0039</t>
  </si>
  <si>
    <t>FF0040</t>
  </si>
  <si>
    <t>FF0041</t>
  </si>
  <si>
    <t>FF0042</t>
  </si>
  <si>
    <t>FF0043</t>
  </si>
  <si>
    <t>FF0044</t>
  </si>
  <si>
    <t>FF0045</t>
  </si>
  <si>
    <t>FF0046</t>
  </si>
  <si>
    <t>FF0047</t>
  </si>
  <si>
    <t>FF0048</t>
  </si>
  <si>
    <t>FF0049</t>
  </si>
  <si>
    <t>FF0050</t>
  </si>
  <si>
    <t>FF0051</t>
  </si>
  <si>
    <t>FF0052</t>
  </si>
  <si>
    <t>FF0053</t>
  </si>
  <si>
    <t>FF0054</t>
  </si>
  <si>
    <t>FF0055</t>
  </si>
  <si>
    <t>FF0056</t>
  </si>
  <si>
    <t>FF0057</t>
  </si>
  <si>
    <t>FF0058</t>
  </si>
  <si>
    <t>FF0059</t>
  </si>
  <si>
    <t>FF0060</t>
  </si>
  <si>
    <t>FF0061</t>
  </si>
  <si>
    <t>FF0062</t>
  </si>
  <si>
    <t>FF0063</t>
  </si>
  <si>
    <t>FF0064</t>
  </si>
  <si>
    <t>FF0065</t>
  </si>
  <si>
    <t>FF0066</t>
  </si>
  <si>
    <t>FF0067</t>
  </si>
  <si>
    <t>FF0068</t>
  </si>
  <si>
    <t>FF0069</t>
  </si>
  <si>
    <t>FF0070</t>
  </si>
  <si>
    <t>FF0071</t>
  </si>
  <si>
    <t>FF0072</t>
  </si>
  <si>
    <t>FF0073</t>
  </si>
  <si>
    <t>FF0074</t>
  </si>
  <si>
    <t>FF0075</t>
  </si>
  <si>
    <t>FF0076</t>
  </si>
  <si>
    <t>FF0077</t>
  </si>
  <si>
    <t>FF0078</t>
  </si>
  <si>
    <t>FF0079</t>
  </si>
  <si>
    <t>FF0080</t>
  </si>
  <si>
    <t>FF0081</t>
  </si>
  <si>
    <t>FF0082</t>
  </si>
  <si>
    <t>FF0083</t>
  </si>
  <si>
    <t>FF0084</t>
  </si>
  <si>
    <t>FF0085</t>
  </si>
  <si>
    <t>FF0086</t>
  </si>
  <si>
    <t>FF0087</t>
  </si>
  <si>
    <t>FF0088</t>
  </si>
  <si>
    <t>FF0089</t>
  </si>
  <si>
    <t>FF0090</t>
  </si>
  <si>
    <t>FF0091</t>
  </si>
  <si>
    <t>FF0092</t>
  </si>
  <si>
    <t>FF0093</t>
  </si>
  <si>
    <t>FF0094</t>
  </si>
  <si>
    <t>FF0095</t>
  </si>
  <si>
    <t>FF0096</t>
  </si>
  <si>
    <t>FF0097</t>
  </si>
  <si>
    <t>FF0098</t>
  </si>
  <si>
    <t>FF0099</t>
  </si>
  <si>
    <t>FF0100</t>
  </si>
  <si>
    <t>FF0101</t>
  </si>
  <si>
    <t>FF0102</t>
  </si>
  <si>
    <t>FF0103</t>
  </si>
  <si>
    <t>FF0104</t>
  </si>
  <si>
    <t>FF0105</t>
  </si>
  <si>
    <t>FF0106</t>
  </si>
  <si>
    <t>FF0107</t>
  </si>
  <si>
    <t>FF0108</t>
  </si>
  <si>
    <t>FF0109</t>
  </si>
  <si>
    <t>FF0110</t>
  </si>
  <si>
    <t>FF0111</t>
  </si>
  <si>
    <t>FF0112</t>
  </si>
  <si>
    <t>FF0113</t>
  </si>
  <si>
    <t>FF0114</t>
  </si>
  <si>
    <t>FF0115</t>
  </si>
  <si>
    <t>FF0116</t>
  </si>
  <si>
    <t>FF0117</t>
  </si>
  <si>
    <t>FF0118</t>
  </si>
  <si>
    <t>FF0119</t>
  </si>
  <si>
    <t>FF0120</t>
  </si>
  <si>
    <t>FF0121</t>
  </si>
  <si>
    <t>FF0122</t>
  </si>
  <si>
    <t>FF0123</t>
  </si>
  <si>
    <t>FF0124</t>
  </si>
  <si>
    <t>FF0125</t>
  </si>
  <si>
    <t>FF0126</t>
  </si>
  <si>
    <t>FF0127</t>
  </si>
  <si>
    <t>FF0128</t>
  </si>
  <si>
    <t>FF0129</t>
  </si>
  <si>
    <t>FF0130</t>
  </si>
  <si>
    <t>FF0131</t>
  </si>
  <si>
    <t>FF0132</t>
  </si>
  <si>
    <t>FF0133</t>
  </si>
  <si>
    <t>FF0134</t>
  </si>
  <si>
    <t>FF0135</t>
  </si>
  <si>
    <t>FF0136</t>
  </si>
  <si>
    <t>FF0137</t>
  </si>
  <si>
    <t>FF0138</t>
  </si>
  <si>
    <t>FF0139</t>
  </si>
  <si>
    <t>FF0140</t>
  </si>
  <si>
    <t>FF0141</t>
  </si>
  <si>
    <t>FF0142</t>
  </si>
  <si>
    <t>FF0143</t>
  </si>
  <si>
    <t>FF0144</t>
  </si>
  <si>
    <t>FF0145</t>
  </si>
  <si>
    <t>FF0146</t>
  </si>
  <si>
    <t>FF0147</t>
  </si>
  <si>
    <t>FF0148</t>
  </si>
  <si>
    <t>FF0149</t>
  </si>
  <si>
    <t>FF0150</t>
  </si>
  <si>
    <t>FF0151</t>
  </si>
  <si>
    <t>FF0152</t>
  </si>
  <si>
    <t>FF0153</t>
  </si>
  <si>
    <t>FF0154</t>
  </si>
  <si>
    <t>FF0155</t>
  </si>
  <si>
    <t>L Shape Desk 200w1X120w2X60d1X85d2</t>
  </si>
  <si>
    <t>Desk 80wX60d</t>
  </si>
  <si>
    <t>Mobile Pedestal 40X50X61h</t>
  </si>
  <si>
    <t>2 Hinge Doors Cabinet 80X40X81h</t>
  </si>
  <si>
    <t>High Back Chair</t>
  </si>
  <si>
    <t>Visit Chair</t>
  </si>
  <si>
    <t>Partition GEO-1 200wx150h</t>
  </si>
  <si>
    <t>Partition GEO-1 340wx150h</t>
  </si>
  <si>
    <t>L Shape Desk 150w1X120w2X60d1X60d2</t>
  </si>
  <si>
    <t>Privacy Screen 150X35-160X35</t>
  </si>
  <si>
    <t>1 Hinge Doors Cabinet 40X40X81h</t>
  </si>
  <si>
    <t>2 Hinge Doors Cabinet 40X40X81h</t>
  </si>
  <si>
    <t>2 Boxes 40wx60dX74.5h</t>
  </si>
  <si>
    <t>Desk 100wX60d</t>
  </si>
  <si>
    <t>Staff Chair</t>
  </si>
  <si>
    <t>Meeting Table 320X120</t>
  </si>
  <si>
    <t>Mid Back chair Series 9/M92A2</t>
  </si>
  <si>
    <t>Round Table DIA120</t>
  </si>
  <si>
    <t>Low Back Chair Series 9/E91A2</t>
  </si>
  <si>
    <t>Low Back Chair</t>
  </si>
  <si>
    <t>Round Table DIA100</t>
  </si>
  <si>
    <t>Chair MERR/G05NNAGR</t>
  </si>
  <si>
    <t>Pantry REFLEXION</t>
  </si>
  <si>
    <t>Sofa MSA3S</t>
  </si>
  <si>
    <t>Sofa MSA1S</t>
  </si>
  <si>
    <t>Coffee Table 90X90</t>
  </si>
  <si>
    <t>Partition + Counter</t>
  </si>
  <si>
    <t>Company Logo Wall</t>
  </si>
  <si>
    <t>CABINET</t>
  </si>
  <si>
    <t>SAFE BOX</t>
  </si>
  <si>
    <t>REFRIGERATOR (TOSHIBA 6.1Q)</t>
  </si>
  <si>
    <t>MICROWAVE</t>
  </si>
  <si>
    <t>VACUUM SWEEPER</t>
  </si>
  <si>
    <t>Shelf for Document</t>
  </si>
  <si>
    <t>WATER COOLER (Standard Brand)</t>
  </si>
  <si>
    <t xml:space="preserve">Filling Cabinet 4 drawers </t>
  </si>
  <si>
    <t xml:space="preserve">Self for Document </t>
  </si>
  <si>
    <t>Furniture - MSIG</t>
  </si>
  <si>
    <t>ແກ້ໄຂລະບົບເວຫາການຄຳນວນການຄິດໄລ່ຄ່າທຳນຽມຂອງຜະລິດຕະພັນປະກັນໄພລົດພາກບັງຄັບ (8,800$)</t>
  </si>
  <si>
    <t>FF0156</t>
  </si>
  <si>
    <t>FF0157</t>
  </si>
  <si>
    <t>FF0158</t>
  </si>
  <si>
    <t>FF0159</t>
  </si>
  <si>
    <t>FF0160</t>
  </si>
  <si>
    <t>FF0161</t>
  </si>
  <si>
    <t>FF0162</t>
  </si>
  <si>
    <t>FF0163</t>
  </si>
  <si>
    <t>FF0164</t>
  </si>
  <si>
    <t>FF0165</t>
  </si>
  <si>
    <t>FF0166</t>
  </si>
  <si>
    <t>FF0167</t>
  </si>
  <si>
    <t>FF0168</t>
  </si>
  <si>
    <t>FF0169</t>
  </si>
  <si>
    <t>FF0170</t>
  </si>
  <si>
    <t>FF0171</t>
  </si>
  <si>
    <t>FF0172</t>
  </si>
  <si>
    <t>FF0173</t>
  </si>
  <si>
    <t>FF0174</t>
  </si>
  <si>
    <t>FF0175</t>
  </si>
  <si>
    <t>FF0176</t>
  </si>
  <si>
    <t>FF0177</t>
  </si>
  <si>
    <t>FF0178</t>
  </si>
  <si>
    <t>FF0179</t>
  </si>
  <si>
    <t>FF0180</t>
  </si>
  <si>
    <t>FF0181</t>
  </si>
  <si>
    <t>FF0182</t>
  </si>
  <si>
    <t>FF0183</t>
  </si>
  <si>
    <t>FF0184</t>
  </si>
  <si>
    <t>FF0185</t>
  </si>
  <si>
    <t>FF0186</t>
  </si>
  <si>
    <t>FF0187</t>
  </si>
  <si>
    <t>FF0188</t>
  </si>
  <si>
    <t>FF0189</t>
  </si>
  <si>
    <t>FF0190</t>
  </si>
  <si>
    <t>FF0191</t>
  </si>
  <si>
    <t>FF0192</t>
  </si>
  <si>
    <t>FF0193</t>
  </si>
  <si>
    <t>FF0194</t>
  </si>
  <si>
    <t>FF0195</t>
  </si>
  <si>
    <t>FF0196</t>
  </si>
  <si>
    <t>FF0197</t>
  </si>
  <si>
    <t>FF0198</t>
  </si>
  <si>
    <t>FF0199</t>
  </si>
  <si>
    <t>FF0200</t>
  </si>
  <si>
    <t>FF0201</t>
  </si>
  <si>
    <t>FF0202</t>
  </si>
  <si>
    <t>FF0203</t>
  </si>
  <si>
    <t>FF0204</t>
  </si>
  <si>
    <t>FF0205</t>
  </si>
  <si>
    <t>FF0206</t>
  </si>
  <si>
    <t>FF0207</t>
  </si>
  <si>
    <t>FF0208</t>
  </si>
  <si>
    <t>FF0209</t>
  </si>
  <si>
    <t>FF0210</t>
  </si>
  <si>
    <t>FF0211</t>
  </si>
  <si>
    <t>FF0212</t>
  </si>
  <si>
    <t>FF0213</t>
  </si>
  <si>
    <t>FF0214</t>
  </si>
  <si>
    <t>FF0215</t>
  </si>
  <si>
    <t>FF0216</t>
  </si>
  <si>
    <t>FF0217</t>
  </si>
  <si>
    <t>FF0218</t>
  </si>
  <si>
    <t>FF0219</t>
  </si>
  <si>
    <t>FF0220</t>
  </si>
  <si>
    <t>FF0221</t>
  </si>
  <si>
    <t>FF0222</t>
  </si>
  <si>
    <t>FF0223</t>
  </si>
  <si>
    <t>FF0224</t>
  </si>
  <si>
    <t>FF0225</t>
  </si>
  <si>
    <t>FF0226</t>
  </si>
  <si>
    <t>FF0227</t>
  </si>
  <si>
    <t>FF0228</t>
  </si>
  <si>
    <t>FF0229</t>
  </si>
  <si>
    <t>FF0230</t>
  </si>
  <si>
    <t>FF0231</t>
  </si>
  <si>
    <t>FF0232</t>
  </si>
  <si>
    <t>FF0233</t>
  </si>
  <si>
    <t>FF0234</t>
  </si>
  <si>
    <t>FF0235</t>
  </si>
  <si>
    <t>FF0236</t>
  </si>
  <si>
    <t>FF0237</t>
  </si>
  <si>
    <t>FF0238</t>
  </si>
  <si>
    <t>FF0239</t>
  </si>
  <si>
    <t>FF0240</t>
  </si>
  <si>
    <t>FF0241</t>
  </si>
  <si>
    <t>FF0242</t>
  </si>
  <si>
    <t>FF0243</t>
  </si>
  <si>
    <t>FF0244</t>
  </si>
  <si>
    <t>FF0245</t>
  </si>
  <si>
    <t>FF0246</t>
  </si>
  <si>
    <t>FF0247</t>
  </si>
  <si>
    <t>FF0248</t>
  </si>
  <si>
    <t>FF0249</t>
  </si>
  <si>
    <t>2411.01</t>
  </si>
  <si>
    <t>2411.01-120M</t>
  </si>
  <si>
    <t>20091105</t>
  </si>
  <si>
    <t>20100114</t>
  </si>
  <si>
    <t>20100127</t>
  </si>
  <si>
    <t>20120725</t>
  </si>
  <si>
    <t>20120828</t>
  </si>
  <si>
    <t>20121224</t>
  </si>
  <si>
    <t>20140201</t>
  </si>
  <si>
    <t>20150609</t>
  </si>
  <si>
    <t>Company Sign Board MSIG LAO</t>
  </si>
  <si>
    <t>FO0001</t>
  </si>
  <si>
    <t>2413.01</t>
  </si>
  <si>
    <t>Laminate Deli 3891 A4  ເຄື່ອງເຄືອບບັດ</t>
  </si>
  <si>
    <t>Cannon PIXMA G3010 + INK TANK ປິ່ນເຕີ້</t>
  </si>
  <si>
    <t>Cannon EOS 200D/250D + EF-S 18-55 ISSTM ກ້ອງຖ່າຍຮູບ</t>
  </si>
  <si>
    <t>Saramonic Blink Me B2 Wireless Microphone ໄມໂຄໂຟນ</t>
  </si>
  <si>
    <t>SAMSUNG A14 (4+128GB) RED 2023 ໂທລະສັບ</t>
  </si>
  <si>
    <t>SAMSUNG A14 (4+128GB) SILVER 2023 ໂທລະສັບ</t>
  </si>
  <si>
    <t>JBL PartyBox Encore Essential + Microphone ShureSV-100 ລຳໂພງ+ໄມ</t>
  </si>
  <si>
    <t>SAMSUNG A24 BLACK 128GB 2023 ໂທລະສັບ</t>
  </si>
  <si>
    <t>Printer Cannon G3010 WIFI-TANK ປິ່ນເຕີ້</t>
  </si>
  <si>
    <t>Redmi A3+4GB+128( Smart Phone )</t>
  </si>
  <si>
    <t>ໂດນບິນ DJI MINI 4 PRO FLY MORE COMBO PLUS RC2  AP251/0295 MKT + UDW+CLAIM MOTOR (CHX162-30)</t>
  </si>
  <si>
    <t>TELEPHONE KXTB 500</t>
  </si>
  <si>
    <t>Additional Telephone Card Panasonic KX-Tem824</t>
  </si>
  <si>
    <t>Comb Binding Machine</t>
  </si>
  <si>
    <t>paper Cutter A4</t>
  </si>
  <si>
    <t>DVR Kenpro 8Ch 6unit, Analog HD TVI</t>
  </si>
  <si>
    <t>AIR</t>
  </si>
  <si>
    <t>MOBILE</t>
  </si>
  <si>
    <t>ເຄື່ອງພິມບັດ Fargo</t>
  </si>
  <si>
    <t>ໂທລະສັບຕັ່ງໂຕະ 021 221210</t>
  </si>
  <si>
    <t>ເບີໂທລະສັບສາຍດ່ວນ</t>
  </si>
  <si>
    <t>TV LCD</t>
  </si>
  <si>
    <t>ໝໍ້ນໍ້າຮ້ອນ</t>
  </si>
  <si>
    <t>Wireless</t>
  </si>
  <si>
    <t>taplet</t>
  </si>
  <si>
    <t xml:space="preserve">Clean machine card ຊື້ເຄື່ອງທຳຄວາມສະອາດເຄື່ອງພີມບັດ 4,280 ບາດ ຄ່າທຳນຽມການໂອນ 60 ບາດ </t>
  </si>
  <si>
    <t>ຈ່າຍຄ່າເຄື່ອງ VIDEO CONFERENCE 1 ຊຸດເພື່ອໃຊ້ໃນການປະຊຸມແລະເຝິກອົບຮົມຕ່າງໆ ເລກທີ 0014/0721/ATT ຈຳນວນ 37.000 ບາດ . . . . . . . . .</t>
  </si>
  <si>
    <t xml:space="preserve">Test Acolho  ຊື້ເຄື່ອງເປົ່າທາດເຫຼົ້າ ທາງລົມຫາຍໃຈຂອງລູກຄ້າໃນເວລາເກີດອຸປະຕິເຫດ (ຂອງພະແນກເຄລມ ມໍເຕີ ) 16.710 ບາດ'1. ເຄື່ອງເປົ່າທາດເຫຼົ້າ 1 ອັນ ( 16.500 ບາດ)'2. ຄ່າຂົນສົ່ງຈາກໜ້າຮ້ານ (60 ບາດ)'3. ຄ່າທຳນຽມໂອນ (ອ້າຍມົນຕີໂອນໃຫ້) 150 ບາດ'ຊື້ຈາກຮ້ານ FULFILL&amp;SUPPLY ທີ່ປະເທດໄທ </t>
  </si>
  <si>
    <t>Dispensor  cool &amp; hot water ຊື້ຕູ້ນ້ຳຮ້ອນ + ນ້ຳເຢັນ ໄວໃຊ້ຫ້ອງການປະກັນໄພ ຈຳນວນ 1 ໜ່ວຍ ( 1.118.000 ກີບ ) ຈ່າຍໃຫ້ ຮ້ານລ້ຳລວຍຈະເລີນສື່ສານ ແລະ ໄຟຟ້າ . . . . . . . .</t>
  </si>
  <si>
    <t xml:space="preserve">ຈ່າຍຄ່າໂທລະສັບ SAMSUNG S6 EDGE BLACK 1 ໜ່ວຍ ( 13.017 ບາດ) ໃສ່ເບີສາຍດ່ວນພະແນກ ເຄລມມໍເຕີ ທ້າວ ທິນນາກອນ </t>
  </si>
  <si>
    <t>ຊື້ປີນເຕີ BROTHERDCPT920DW ໃຫ້ພະແນກ ການຕະຫຼາດ ຈຳນວນ 1 ເຄື່ອງ ( 3.700.000 ກີບ) ຈ່າຍໃຫ້ຮ້ານ LT SOLE CO.,LTD . . . . . . . .</t>
  </si>
  <si>
    <t>ຈ່າຍຄ່າ PRITER BROTHER MFC-T920DW ຈຳນວນ 1 ໜ່ວຍ ( 4.500.000 ກີບ ) ໃສ່ຫ້ອງ ທ່ານອຳນວຍການ ໂຕເກົ່າເພ່ (ຊື້ໂຕໃຫມ່ມາແທນ ) . . . . . . .</t>
  </si>
  <si>
    <t xml:space="preserve">ຈ່າຍຄ່າ ໂທລະສັບ ໃຫ້ ພະແນກ ສິນໄຫມທົດແທນ ສຸຂະພາບ ຈຳນວນ 1 ເຄື່ອງ ( 12.790 ບາດ) ຍີ່ຫໍ້ SAMSUNG GALAXY NOTE5 32 GB ຊື້ເຄື່ອງໃຫມ່ເນື່ອງຈາກເຄື່ອງເກົາເພ່ແລ້ວ ບໍ່ສາມາດໃຊ້ງານໄດ້ . . . . . .  </t>
  </si>
  <si>
    <t xml:space="preserve">ຊື້ຕູ້ໃສ່ເອກະສານ 2 ບານແກ້ວເລື່ອນ ໃສ່ຫ້ອງ ທ່ານ ອຳນວຍການ ທ່ານ ສອນເພັດ ພັນຕະມາ 1 ໜ່ວຍ ( 7.000 ບາດ) ຮ້ານ TS FURNITURE </t>
  </si>
  <si>
    <t>ຈ່າຍຄ່າຕູ້ໃສ່ເອກະສານ + ໂຕະ ເຮັດວຽກ ພະນັກງານ ( 13.800 ບາດ) 1.ຕູ້ໃສ່ເອກະສານ ນ ພາລີສາ ພ-ງ ບັນຊີ 1 ໜ່ວຍ 4.500 ບາດ 2. ຕູ້ໃສ່ເອກະສານ ນາງ ລິນດາ ພ-ງ ການຕະຫຼາດ 1 ໜ່ວຍ 4.500 ບາດ 3. ໂຕະເຮັດວຽກ ຫົວໜ້າການຕະຫຼາດ ທ ສົມຫວັງ ( 4.800 ບາດ) ລວມ 13.800 ບາດ . . . . .</t>
  </si>
  <si>
    <t>Office Eqiupment OF PARKSE</t>
  </si>
  <si>
    <t>BYE TELEPHONE TO MARKKETING</t>
  </si>
  <si>
    <t>Other Assets  PARKSE OFFICE</t>
  </si>
  <si>
    <t>Other Assets TELEPHONE FOR CLAIMS MOTOR</t>
  </si>
  <si>
    <t>Cuting  paper matchin ເຄື່ອງຈັກບົດເຈ້ຍ</t>
  </si>
  <si>
    <t xml:space="preserve">AIR GREE 18000BTU </t>
  </si>
  <si>
    <t>ເຄື່ອງເປົ່າແອວກໍຮໍ</t>
  </si>
  <si>
    <t>ຕິດຕັ້ງປະຕູລ໋ອກແບບດິດຈິຕໍ້ໃສ່ຫ້ອງການ MSIG ແບບໃຊ້ບັດສະແກນເຂົ້າ-ອອກ (42,625THB RATE 660) ຈ່າຍ100%</t>
  </si>
  <si>
    <t>AIR GREE 18000BTU AT SAVANNAKET (ລາຄາເຕັມ16,000 ຍາດ ແບ່ງຈ່າຍກັບປະກັນຊີວິດຄົນລະເຄິີ່ງ)</t>
  </si>
  <si>
    <t>FO0002</t>
  </si>
  <si>
    <t>FO0003</t>
  </si>
  <si>
    <t>FO0004</t>
  </si>
  <si>
    <t>FO0005</t>
  </si>
  <si>
    <t>FO0006</t>
  </si>
  <si>
    <t>FO0007</t>
  </si>
  <si>
    <t>FO0008</t>
  </si>
  <si>
    <t>FO0009</t>
  </si>
  <si>
    <t>FO0010</t>
  </si>
  <si>
    <t>FO0011</t>
  </si>
  <si>
    <t>FO0012</t>
  </si>
  <si>
    <t>FO0013</t>
  </si>
  <si>
    <t>FO0014</t>
  </si>
  <si>
    <t>FO0015</t>
  </si>
  <si>
    <t>FO0016</t>
  </si>
  <si>
    <t>FO0017</t>
  </si>
  <si>
    <t>FO0018</t>
  </si>
  <si>
    <t>FO0019</t>
  </si>
  <si>
    <t>FO0020</t>
  </si>
  <si>
    <t>FO0021</t>
  </si>
  <si>
    <t>FO0022</t>
  </si>
  <si>
    <t>FO0023</t>
  </si>
  <si>
    <t>FO0024</t>
  </si>
  <si>
    <t>FO0025</t>
  </si>
  <si>
    <t>FO0026</t>
  </si>
  <si>
    <t>FO0027</t>
  </si>
  <si>
    <t>FO0028</t>
  </si>
  <si>
    <t>FO0029</t>
  </si>
  <si>
    <t>FO0030</t>
  </si>
  <si>
    <t>FO0031</t>
  </si>
  <si>
    <t>FO0032</t>
  </si>
  <si>
    <t>FO0033</t>
  </si>
  <si>
    <t>FO0034</t>
  </si>
  <si>
    <t>FO0035</t>
  </si>
  <si>
    <t>FO0036</t>
  </si>
  <si>
    <t>FO0037</t>
  </si>
  <si>
    <t>FO0038</t>
  </si>
  <si>
    <t>FO0039</t>
  </si>
  <si>
    <t>FO0040</t>
  </si>
  <si>
    <t>FO0041</t>
  </si>
  <si>
    <t>FO0042</t>
  </si>
  <si>
    <t>FO0043</t>
  </si>
  <si>
    <t>FO0044</t>
  </si>
  <si>
    <t>FO0045</t>
  </si>
  <si>
    <t>FO0046</t>
  </si>
  <si>
    <t>FO0047</t>
  </si>
  <si>
    <t>FO0048</t>
  </si>
  <si>
    <t>FO0049</t>
  </si>
  <si>
    <t>FO0050</t>
  </si>
  <si>
    <t>FO0051</t>
  </si>
  <si>
    <t>FO0052</t>
  </si>
  <si>
    <t>FO0053</t>
  </si>
  <si>
    <t>FO0054</t>
  </si>
  <si>
    <t>FO0055</t>
  </si>
  <si>
    <t>FO0056</t>
  </si>
  <si>
    <t>FO0057</t>
  </si>
  <si>
    <t>FO0058</t>
  </si>
  <si>
    <t>FO0059</t>
  </si>
  <si>
    <t>FO0060</t>
  </si>
  <si>
    <t>FO0061</t>
  </si>
  <si>
    <t>FO0062</t>
  </si>
  <si>
    <t>FO0063</t>
  </si>
  <si>
    <t>FO0064</t>
  </si>
  <si>
    <t>FO0065</t>
  </si>
  <si>
    <t>20241021</t>
  </si>
  <si>
    <t>20241009</t>
  </si>
  <si>
    <t>20240530</t>
  </si>
  <si>
    <t>20240122</t>
  </si>
  <si>
    <t>20240226</t>
  </si>
  <si>
    <t>20240523</t>
  </si>
  <si>
    <t>20241104</t>
  </si>
  <si>
    <t>20250131</t>
  </si>
  <si>
    <t>20091216</t>
  </si>
  <si>
    <t>20160501</t>
  </si>
  <si>
    <t>20120621</t>
  </si>
  <si>
    <t>20121009</t>
  </si>
  <si>
    <t>20200703</t>
  </si>
  <si>
    <t>20200505</t>
  </si>
  <si>
    <t>20200921</t>
  </si>
  <si>
    <t>20200811</t>
  </si>
  <si>
    <t>20201120</t>
  </si>
  <si>
    <t>20180322</t>
  </si>
  <si>
    <t>20181201</t>
  </si>
  <si>
    <t>20180101</t>
  </si>
  <si>
    <t>20190430</t>
  </si>
  <si>
    <t>20190915</t>
  </si>
  <si>
    <t>20191003</t>
  </si>
  <si>
    <t>20190901</t>
  </si>
  <si>
    <t>20190423</t>
  </si>
  <si>
    <t>20190919</t>
  </si>
  <si>
    <t>20210510</t>
  </si>
  <si>
    <t>20210803</t>
  </si>
  <si>
    <t>20211004</t>
  </si>
  <si>
    <t>20211012</t>
  </si>
  <si>
    <t>20220215</t>
  </si>
  <si>
    <t>20220405</t>
  </si>
  <si>
    <t>20220726</t>
  </si>
  <si>
    <t>20220922</t>
  </si>
  <si>
    <t>20230130</t>
  </si>
  <si>
    <t>20230213</t>
  </si>
  <si>
    <t>20230328</t>
  </si>
  <si>
    <t>20230525</t>
  </si>
  <si>
    <t>20230630</t>
  </si>
  <si>
    <t>20250328</t>
  </si>
  <si>
    <t>20250528</t>
  </si>
  <si>
    <t>20250521</t>
  </si>
  <si>
    <t>20250716</t>
  </si>
  <si>
    <t>2413.02</t>
  </si>
  <si>
    <t>2413.03</t>
  </si>
  <si>
    <t>2413.04</t>
  </si>
  <si>
    <t>2413.05</t>
  </si>
  <si>
    <t>2413.06</t>
  </si>
  <si>
    <t>2413.07</t>
  </si>
  <si>
    <t>2413.08</t>
  </si>
  <si>
    <t>2413.09</t>
  </si>
  <si>
    <t>2413.10</t>
  </si>
  <si>
    <t>2413.11</t>
  </si>
  <si>
    <t>2413.12</t>
  </si>
  <si>
    <t>2413.13</t>
  </si>
  <si>
    <t>2413.14</t>
  </si>
  <si>
    <t>2413.15</t>
  </si>
  <si>
    <t>2413.16</t>
  </si>
  <si>
    <t>2413.17</t>
  </si>
  <si>
    <t>2413.18</t>
  </si>
  <si>
    <t>2413.19</t>
  </si>
  <si>
    <t>2413.20</t>
  </si>
  <si>
    <t>2413.21</t>
  </si>
  <si>
    <t>2413.22</t>
  </si>
  <si>
    <t>2413.23</t>
  </si>
  <si>
    <t>2413.24</t>
  </si>
  <si>
    <t>2413.25</t>
  </si>
  <si>
    <t>2413.26</t>
  </si>
  <si>
    <t>2413.27</t>
  </si>
  <si>
    <t>2413.28</t>
  </si>
  <si>
    <t>2413.29</t>
  </si>
  <si>
    <t>2413.30</t>
  </si>
  <si>
    <t>2413.31</t>
  </si>
  <si>
    <t>2413.32</t>
  </si>
  <si>
    <t>2413.33</t>
  </si>
  <si>
    <t>2413.34</t>
  </si>
  <si>
    <t>2413.35</t>
  </si>
  <si>
    <t>2413.36</t>
  </si>
  <si>
    <t>2413.37</t>
  </si>
  <si>
    <t>2413.38</t>
  </si>
  <si>
    <t>2413.39</t>
  </si>
  <si>
    <t>2413.40</t>
  </si>
  <si>
    <t>2413.41</t>
  </si>
  <si>
    <t>2413.42</t>
  </si>
  <si>
    <t>2413.43</t>
  </si>
  <si>
    <t>2413.44</t>
  </si>
  <si>
    <t>2413.45</t>
  </si>
  <si>
    <t>2413.46</t>
  </si>
  <si>
    <t>2413.47</t>
  </si>
  <si>
    <t>2413.48</t>
  </si>
  <si>
    <t>2413.49</t>
  </si>
  <si>
    <t>2413.50</t>
  </si>
  <si>
    <t>2413.51</t>
  </si>
  <si>
    <t>2413.52</t>
  </si>
  <si>
    <t>2413.53</t>
  </si>
  <si>
    <t>2413.54</t>
  </si>
  <si>
    <t>2413.55</t>
  </si>
  <si>
    <t>2413.56</t>
  </si>
  <si>
    <t>2413.57</t>
  </si>
  <si>
    <t>2413.58</t>
  </si>
  <si>
    <t>2413.59</t>
  </si>
  <si>
    <t>2413.60</t>
  </si>
  <si>
    <t>2413.61</t>
  </si>
  <si>
    <t>2413.62</t>
  </si>
  <si>
    <t>2413.63</t>
  </si>
  <si>
    <t>2413.64</t>
  </si>
  <si>
    <t>*O-21102024-45*</t>
  </si>
  <si>
    <t>*O-09102024-46*</t>
  </si>
  <si>
    <t>*O-29052024-47*</t>
  </si>
  <si>
    <t>*O-29052024-48*</t>
  </si>
  <si>
    <t>*O-22012024-49*</t>
  </si>
  <si>
    <t>*O-22012024-50*</t>
  </si>
  <si>
    <t>*O-09102024-51*</t>
  </si>
  <si>
    <t>*O-27022024-52*</t>
  </si>
  <si>
    <t>*O-22052024-53*</t>
  </si>
  <si>
    <t>*O-22052024-54*</t>
  </si>
  <si>
    <t>*O-05112024-55*</t>
  </si>
  <si>
    <t>*O-05112024-56*</t>
  </si>
  <si>
    <t>*O-05112024-57*</t>
  </si>
  <si>
    <t>*O-05112024-58*</t>
  </si>
  <si>
    <t>*O-31012025-59*</t>
  </si>
  <si>
    <t>*O-30062023-285*</t>
  </si>
  <si>
    <t>*O-28032025-674*</t>
  </si>
  <si>
    <t>*O-45805-675*</t>
  </si>
  <si>
    <t>*O-45798-658*</t>
  </si>
  <si>
    <t>*O-45854-662*</t>
  </si>
  <si>
    <t>*O-45922-689*</t>
  </si>
  <si>
    <t>*S-45923-690*</t>
  </si>
  <si>
    <t>LED Dell 21.5" FHD IPS(75Hz) Hear (LED)</t>
  </si>
  <si>
    <t>Acer Aspire 3 A315_59_54S1, i5_i1235U/8GB (Laptops)</t>
  </si>
  <si>
    <t>Dell Lattitude 5530, I7 1265U Ram 16GB (Laptops)</t>
  </si>
  <si>
    <t xml:space="preserve">Lenovo ThinkBook 14 G6/ i5-13500H/16GB (Laptops) </t>
  </si>
  <si>
    <t>Dell optiplex 7040, i5_6500 SSD256GB Ram 8GB (Desktops)</t>
  </si>
  <si>
    <t>HP 15S_FR5005TU i7_1260P Ram16gb (Laptops)</t>
  </si>
  <si>
    <t>LED Lenovo ThinkVision E24_28, FHD 23.8" (LED)</t>
  </si>
  <si>
    <t>HP Pro6300, Core i5_3570 Ram 8GB LED 21.5" (Desktops)</t>
  </si>
  <si>
    <t>Lenovo V15 G3 IAP 82TT00FCTa/ i5-1235U 8GB (Laptops)</t>
  </si>
  <si>
    <t>LED DELL 23.8 FHD (LED)</t>
  </si>
  <si>
    <t>LED DEL 23.8 FHD (LED)</t>
  </si>
  <si>
    <t>HP Pro6300, Core i5_3570 Ram 8GB  SSD 256 GB" (Desktops) (No LED)</t>
  </si>
  <si>
    <t>LENOVO I I51AU7,CORE I5 1235U RAM 8GB SSD 512GB 15,6 FHD WINDOWS 11 USE BY UW DEPT (Laptop)</t>
  </si>
  <si>
    <t>LED DELL 21,5 FHD IPS 75HZ HEAR USE BY UW DEPT (AP24100289)</t>
  </si>
  <si>
    <t>Lenovo V15 G4 IAU i5 13420H,  Ram 8 GB, SSD 512 GB,  Win11 (Laptop)</t>
  </si>
  <si>
    <t>Notebook Lenovo 1 15IAU7, Core i5 1235U, Ram 8GB,SSD 512GB Window11 (Laptop)</t>
  </si>
  <si>
    <t>LED 23.8 HKC V2417 IPS HDMI FULL HD FLAT 100HZ 1MS COMPUTER</t>
  </si>
  <si>
    <t xml:space="preserve">Notebook Lenovo V15 Gen3 IAP_82TT0074FT , Core i3 1215U,Ram 8GB, SSD 256GB,  Window11 </t>
  </si>
  <si>
    <t>DELL VOSTRO 3430-VN3430VK98N001OGTH/ Intel i3-1305U Instock, Intel i3-1305u/ Ram 8GB DDR4 / 512GB SSD (03 Qty ) ,</t>
  </si>
  <si>
    <t>Lenovo v15 Gen3 IAP_82TT0074FT, Core i3_1215U Ram 8GB, SSD 256GB, 15,6 FHD</t>
  </si>
  <si>
    <t xml:space="preserve">DELL VOSTRO 3430-VN3430VK98N001OGTH/ Intel i3-1305U Instock, Intel i3-1305u/ Ram 8GB DDR4 / 512GB SSD (03 Qty ) , </t>
  </si>
  <si>
    <t>Notebook Lenovo V15 G4 IRU 83A100CTTA, Business Black ,15.6 inch/Intel i3-1315U / 8GB DDR4/256GB SSD/Integrated Graphics/DOS</t>
  </si>
  <si>
    <t>Notebook</t>
  </si>
  <si>
    <t xml:space="preserve">ຄອມຕັ້ງໂຕະ </t>
  </si>
  <si>
    <t>Printer</t>
  </si>
  <si>
    <t>ເຄສ</t>
  </si>
  <si>
    <t>ຈໍຄອມ</t>
  </si>
  <si>
    <t>ຄອມ</t>
  </si>
  <si>
    <t>ຈໍຕັ້ງໂຕະ</t>
  </si>
  <si>
    <t>ໂປຣເຈັກເຕີ</t>
  </si>
  <si>
    <t>ແຜນສາຍໂປຣເຈັກເຕີ</t>
  </si>
  <si>
    <t xml:space="preserve">ຊື້ອຸປະກອນ PRINTER EPSON ເຄື່ອງໃຊ້ຫ້ອງການຂອງສາຂາຫຼວງພະບາງ (1.499.000 ກີບ )'1. PRINTER EPSON L3110+INK TANK 1 ເຄື່ອງ </t>
  </si>
  <si>
    <t>Computer ລາຍຈ່າຍຄ່າຄອມພີວເຕີຕັ້ງໂຕະ ຂອງ ພ/ງ ໃຫມ່ຝ່າຍເຄລມມໍເຕີ (5.526.000 ກີບ)'1. PC HP PAVILION ( 4.398.000 ກີບ ) '2. MONITER LS22F350 24 ນີ້ວ (1.128.000 ກີບ)</t>
  </si>
  <si>
    <t>ຄ່າ Printer brother DCP-T510W  1 ເຄື່ອງ (ຈ່າຍໃຫ້ຮ້ານ ຄອມ ຄອມ ) 1.980.000 ກີບ  . . . . . . . .</t>
  </si>
  <si>
    <t xml:space="preserve">Computer ຄ່າຄອມພິວເຕີ 1 ເຄື່ອງ HP PRODESK400-CORE I5 ຈ່າຍໃຫ້ຮ້ານ LT (VANNALY ONSAVATH MRS)ຈຳນວນ  4.799.000 ກີບ ພະແນກບັນຊີ-ການເງິນ ນາງ ພາລິສາ ປັນຍາວົງ . . .     </t>
  </si>
  <si>
    <t xml:space="preserve">Computer ຄອມພີວເຕີຕັ້ງໂຕະ PC </t>
  </si>
  <si>
    <t>ເບີກເງິນລ່ວງໜ້າຂໍອະນຸມັດຊື້ປິ້ນເຕີໃຫ່ມ 1 ໜ່ວຍໃຫ້ພະແນກສິນທົດແທນ PRINTER ລຸ້ນ BROTHER MFC-T920DW 2.350.000ກີບ</t>
  </si>
  <si>
    <t>ຈ່າຍຄ່າຄອມພີິວເຕີໂນດບຸກ NOTEBOOK ASUS ZENBOOK 13 UX334FLC-A4085T ຈຳນວນ 1 ເຄື່ອງແລະແປ້ນຄີບ໋ອດ 7.599.000ກີບ ເລກທີ່BR2137648 ,ລົງວັນທີ່ 11/06/2021 . . . . . . . .</t>
  </si>
  <si>
    <t>ເບີກເງີນລ່ວງໜ້າ ຂໍອະນຸມັດງົບປະມານ ຊື້ MONITOR 27DELL S27221HN (IPS HDMI) 75HZ 1 ໜ່ວຍ 2.400.000 ກີບ</t>
  </si>
  <si>
    <t>ຄ່າ COMPUTER DELL OPTIPLEX ໃຫ້ຫົວໜ້າ ພິຈາລະນາ ທ້າວ ຕິກຄຳ ຈຳນວນ 1 ເຄື່ອງ ( 4.899.000 ກີບ ) DELL OPTIPLEX  ຈ່າຍໃຫ້ຮ້ານ LT . . . . . . .</t>
  </si>
  <si>
    <t>ຊື້ຄອມຕັ້ງໂຕະ 2 ຊຸດ ໃຫ້ພະນັກງານການຕະຫຼາດ 2 ຄົນ ນາງ ລິນດາ ມະນີວົງ + ນາງ ສີລິວັນ ສີສຸວັນ ( 8.998.000 ກີບ) ຈ່າຍໃຫ້ຮ້ານ LT SOLE CO.,LTD DELL OPTIPLEX 70201 L5_4590(3.3GHz,6MB) SSD128GB+HDD1TB. RAM 4GB . . . . . . .</t>
  </si>
  <si>
    <t>ຊື້ຄອມຜີວເຕີ LENOVO ໂນດບຸກໃຫ້ ພ/ງ ໃຫມ່ ທີ່ເປີດຫ້ອງການໃຫມ່ 2 ສາຂາ ຈຳນວນ 2 ໜ່ວຍ ( 33.200 ບາດ) 1. ຫ້ອງການສາຂາ ສະຫວັນນະເຂດ  1 ໜ່ວຍ ( 16.600 ບາດ) 2. ຫ້ອງການສາຂາ ຈຳປາສັກ  1 ໜ່ວຍ ( 16.600 ບາດ) . . . . . . .</t>
  </si>
  <si>
    <t>BUY  COMPUTER ACER TO MR  MEESOUK</t>
  </si>
  <si>
    <t>Aacer AIO Veriton Z4870G</t>
  </si>
  <si>
    <t>NOTEBOOK ACER nitro v anv15 51547c core i5 AP24120252 FOR MKT MR THEPTHILA SOULIYAKHAMPHAI</t>
  </si>
  <si>
    <t>Lenovo V15 G4 IRU 83A 100CTT/Core i3-1315U/Ram8 Instock,15.6 inch/ Intel i3-1315U/8GB DDR4 512GB SSD M2 NVMe/ Integrated Graphics/Win 11</t>
  </si>
  <si>
    <t>Lenovo v14 G14IRU,15_13420G, Ram 16GB, SSD 512 GB, 14'FHD 300units</t>
  </si>
  <si>
    <t>LED 23.8 ACER K240Y/IPS, HDMI, FULL HD, FLAT 100 HZ DTH247</t>
  </si>
  <si>
    <t>LED 23.8 HP X24IH / IPS, HDMI, FULL HD, FLAT 144 HZ, 1MS DTH256</t>
  </si>
  <si>
    <t>ຊື້ໂນດບຸກ LENOVO THINKPAX X1 CARBON GEN 10,15_1250P, RAM 16 GB, SSD 512 GB, 14 (1920x1200) TOUCHSCREEN, BACKLIT KEYBOAD WINDOWS 11 PRO LICENCE OEM</t>
  </si>
  <si>
    <t>ຊື້ໂນດບຸກ LENOVO V15 INTEL O5-13420H MAX TURBO 4.6 GHZ RAM DDR4 16GB M.2 NVME 512 GB MONITOR 15.6 FHD WIN11</t>
  </si>
  <si>
    <t>LENOVO V15 INTEL I55-13420H MAX TURBO 4.6GHZ RAM DDR4 16GB M2 NVME 512GB MONITOR 15.6 FHD WIN 11 LAP218</t>
  </si>
  <si>
    <t>Xiaomi I-Pad7 8GB-256GB</t>
  </si>
  <si>
    <t>Dell vostro 15 3530 intel i3-1305u max turbo 4.5 Ghz RAM DDR4 16GB M.2 NVME 512 GB monitor 15.6 FHD win11 LAP245</t>
  </si>
  <si>
    <t>FC0001</t>
  </si>
  <si>
    <t>FC0002</t>
  </si>
  <si>
    <t>FC0003</t>
  </si>
  <si>
    <t>FC0004</t>
  </si>
  <si>
    <t>FC0005</t>
  </si>
  <si>
    <t>FC0006</t>
  </si>
  <si>
    <t>FC0007</t>
  </si>
  <si>
    <t>FC0008</t>
  </si>
  <si>
    <t>FC0009</t>
  </si>
  <si>
    <t>FC0010</t>
  </si>
  <si>
    <t>FC0011</t>
  </si>
  <si>
    <t>FC0012</t>
  </si>
  <si>
    <t>FC0013</t>
  </si>
  <si>
    <t>FC0014</t>
  </si>
  <si>
    <t>FC0015</t>
  </si>
  <si>
    <t>FC0016</t>
  </si>
  <si>
    <t>FC0017</t>
  </si>
  <si>
    <t>FC0018</t>
  </si>
  <si>
    <t>FC0019</t>
  </si>
  <si>
    <t>FC0020</t>
  </si>
  <si>
    <t>FC0021</t>
  </si>
  <si>
    <t>FC0022</t>
  </si>
  <si>
    <t>FC0023</t>
  </si>
  <si>
    <t>FC0024</t>
  </si>
  <si>
    <t>FC0025</t>
  </si>
  <si>
    <t>FC0026</t>
  </si>
  <si>
    <t>FC0027</t>
  </si>
  <si>
    <t>FC0028</t>
  </si>
  <si>
    <t>FC0029</t>
  </si>
  <si>
    <t>FC0030</t>
  </si>
  <si>
    <t>FC0031</t>
  </si>
  <si>
    <t>FC0032</t>
  </si>
  <si>
    <t>FC0033</t>
  </si>
  <si>
    <t>FC0034</t>
  </si>
  <si>
    <t>FC0035</t>
  </si>
  <si>
    <t>FC0036</t>
  </si>
  <si>
    <t>FC0037</t>
  </si>
  <si>
    <t>FC0038</t>
  </si>
  <si>
    <t>FC0039</t>
  </si>
  <si>
    <t>FC0040</t>
  </si>
  <si>
    <t>FC0041</t>
  </si>
  <si>
    <t>FC0042</t>
  </si>
  <si>
    <t>FC0043</t>
  </si>
  <si>
    <t>FC0044</t>
  </si>
  <si>
    <t>FC0045</t>
  </si>
  <si>
    <t>FC0046</t>
  </si>
  <si>
    <t>FC0047</t>
  </si>
  <si>
    <t>FC0048</t>
  </si>
  <si>
    <t>FC0049</t>
  </si>
  <si>
    <t>FC0050</t>
  </si>
  <si>
    <t>FC0051</t>
  </si>
  <si>
    <t>FC0052</t>
  </si>
  <si>
    <t>FC0053</t>
  </si>
  <si>
    <t>FC0054</t>
  </si>
  <si>
    <t>FC0055</t>
  </si>
  <si>
    <t>FC0056</t>
  </si>
  <si>
    <t>FC0057</t>
  </si>
  <si>
    <t>FC0058</t>
  </si>
  <si>
    <t>FC0059</t>
  </si>
  <si>
    <t>FC0060</t>
  </si>
  <si>
    <t>FC0061</t>
  </si>
  <si>
    <t>FC0062</t>
  </si>
  <si>
    <t>FC0063</t>
  </si>
  <si>
    <t>FC0064</t>
  </si>
  <si>
    <t>FC0065</t>
  </si>
  <si>
    <t>FC0066</t>
  </si>
  <si>
    <t>FC0067</t>
  </si>
  <si>
    <t>FC0068</t>
  </si>
  <si>
    <t>FC0069</t>
  </si>
  <si>
    <t>FC0070</t>
  </si>
  <si>
    <t>FC0071</t>
  </si>
  <si>
    <t>FC0072</t>
  </si>
  <si>
    <t>FC0073</t>
  </si>
  <si>
    <t>FC0074</t>
  </si>
  <si>
    <t>FC0075</t>
  </si>
  <si>
    <t>FC0076</t>
  </si>
  <si>
    <t>FC0077</t>
  </si>
  <si>
    <t>FC0078</t>
  </si>
  <si>
    <t>FC0079</t>
  </si>
  <si>
    <t>FC0080</t>
  </si>
  <si>
    <t>FC0081</t>
  </si>
  <si>
    <t>FC0082</t>
  </si>
  <si>
    <t>FC0083</t>
  </si>
  <si>
    <t>FC0084</t>
  </si>
  <si>
    <t>FC0085</t>
  </si>
  <si>
    <t>FC0086</t>
  </si>
  <si>
    <t>FC0087</t>
  </si>
  <si>
    <t>FC0088</t>
  </si>
  <si>
    <t>FC0089</t>
  </si>
  <si>
    <t>FC0090</t>
  </si>
  <si>
    <t>FC0091</t>
  </si>
  <si>
    <t>FC0092</t>
  </si>
  <si>
    <t>20240813</t>
  </si>
  <si>
    <t>20241001</t>
  </si>
  <si>
    <t>20240724</t>
  </si>
  <si>
    <t>20240403</t>
  </si>
  <si>
    <t>20240313</t>
  </si>
  <si>
    <t>20240507</t>
  </si>
  <si>
    <t>20241025</t>
  </si>
  <si>
    <t>20241112</t>
  </si>
  <si>
    <t>20241118</t>
  </si>
  <si>
    <t>20241204</t>
  </si>
  <si>
    <t>20250109</t>
  </si>
  <si>
    <t>20200324</t>
  </si>
  <si>
    <t>20200423</t>
  </si>
  <si>
    <t>20201124</t>
  </si>
  <si>
    <t>20200723</t>
  </si>
  <si>
    <t>20200123</t>
  </si>
  <si>
    <t>20180108</t>
  </si>
  <si>
    <t>20180327</t>
  </si>
  <si>
    <t>20210128</t>
  </si>
  <si>
    <t>20210225</t>
  </si>
  <si>
    <t>20210406</t>
  </si>
  <si>
    <t>20210805</t>
  </si>
  <si>
    <t>20210429</t>
  </si>
  <si>
    <t>20210617</t>
  </si>
  <si>
    <t>20220324</t>
  </si>
  <si>
    <t>20220607</t>
  </si>
  <si>
    <t>20230307</t>
  </si>
  <si>
    <t>20231017</t>
  </si>
  <si>
    <t>20241223</t>
  </si>
  <si>
    <t>20250213</t>
  </si>
  <si>
    <t>20250307</t>
  </si>
  <si>
    <t>20250515</t>
  </si>
  <si>
    <t>20250612</t>
  </si>
  <si>
    <t>20250613</t>
  </si>
  <si>
    <t>20250729</t>
  </si>
  <si>
    <t>20250813</t>
  </si>
  <si>
    <t>20250821</t>
  </si>
  <si>
    <t>*C-13082024-59*</t>
  </si>
  <si>
    <t>*C-13082024-60*</t>
  </si>
  <si>
    <t>*C-09102024-61*</t>
  </si>
  <si>
    <t>*C-09102024-62*</t>
  </si>
  <si>
    <t>*C-09102024-63*</t>
  </si>
  <si>
    <t>*C-01102024-64*</t>
  </si>
  <si>
    <t>*C-01102024-65*</t>
  </si>
  <si>
    <t>*C-29052024-66*</t>
  </si>
  <si>
    <t>*C-29052024-67*</t>
  </si>
  <si>
    <t>*C-24072024-68*</t>
  </si>
  <si>
    <t>*C-03042024-69*</t>
  </si>
  <si>
    <t>*C-03042024-70*</t>
  </si>
  <si>
    <t>*C-03042024-71*</t>
  </si>
  <si>
    <t>*C-13032024-72*</t>
  </si>
  <si>
    <t>*C-13032024-73*</t>
  </si>
  <si>
    <t>*C-24012024-74*</t>
  </si>
  <si>
    <t>*C-24012024-75*</t>
  </si>
  <si>
    <t>*C-07052024-76*</t>
  </si>
  <si>
    <t>*C-23102024-77*</t>
  </si>
  <si>
    <t>*C-23102024-78*</t>
  </si>
  <si>
    <t>*C-04112024-79*</t>
  </si>
  <si>
    <t>*C-04112024-80*</t>
  </si>
  <si>
    <t>*C-13112024-81*</t>
  </si>
  <si>
    <t>*C-14112024-82*</t>
  </si>
  <si>
    <t>*C-14112024-83*</t>
  </si>
  <si>
    <t>*C-14112024-84*</t>
  </si>
  <si>
    <t>*C-04122024-85*</t>
  </si>
  <si>
    <t>*C-09012025-623*</t>
  </si>
  <si>
    <t>*C-09012025-624*</t>
  </si>
  <si>
    <t>*C-09012025-625*</t>
  </si>
  <si>
    <t>*C-09012025-626*</t>
  </si>
  <si>
    <t>*C-09012025-627*</t>
  </si>
  <si>
    <t>*C-09012025-628*</t>
  </si>
  <si>
    <t>*C-24032020-623*</t>
  </si>
  <si>
    <t>*C-23042020-624*</t>
  </si>
  <si>
    <t>*C-23042020-625*</t>
  </si>
  <si>
    <t>*C-24112020-626*</t>
  </si>
  <si>
    <t>*C-23072020-627*</t>
  </si>
  <si>
    <t>*C-23072020-628*</t>
  </si>
  <si>
    <t>*C-23012020-629*</t>
  </si>
  <si>
    <t>*C-23012020-630*</t>
  </si>
  <si>
    <t>*C-24032020-631*</t>
  </si>
  <si>
    <t>*C-24032020-632*</t>
  </si>
  <si>
    <t>*C-24032020-633*</t>
  </si>
  <si>
    <t>*C-24032020-634*</t>
  </si>
  <si>
    <t>*C-08012018-635*</t>
  </si>
  <si>
    <t>*C-08012018-636*</t>
  </si>
  <si>
    <t>*C-08012018-637*</t>
  </si>
  <si>
    <t>*C-08012018-638*</t>
  </si>
  <si>
    <t>*C-08012018-639*</t>
  </si>
  <si>
    <t>*C-08012018-640*</t>
  </si>
  <si>
    <t>*C-08012018-641*</t>
  </si>
  <si>
    <t>*C-08012018-642*</t>
  </si>
  <si>
    <t>*C-27032018-643*</t>
  </si>
  <si>
    <t>*C-01012018-644*</t>
  </si>
  <si>
    <t>*C-01012018-645*</t>
  </si>
  <si>
    <t>*C-01012018-646*</t>
  </si>
  <si>
    <t>*C-01012018-647*</t>
  </si>
  <si>
    <t>*C-01012018-648*</t>
  </si>
  <si>
    <t>*C-01012018-649*</t>
  </si>
  <si>
    <t>*C-01012018-650*</t>
  </si>
  <si>
    <t>*C-01012018-651*</t>
  </si>
  <si>
    <t>*C-01012018-652*</t>
  </si>
  <si>
    <t>*C-01012018-653*</t>
  </si>
  <si>
    <t>*C-01012018-654*</t>
  </si>
  <si>
    <t>*C-01012018-655*</t>
  </si>
  <si>
    <t>*C-01012018-656*</t>
  </si>
  <si>
    <t>*C-01012018-657*</t>
  </si>
  <si>
    <t>*C-28012021-658*</t>
  </si>
  <si>
    <t>*C-25022021-659*</t>
  </si>
  <si>
    <t>*C-06042021-660*</t>
  </si>
  <si>
    <t>*C-05082021-661*</t>
  </si>
  <si>
    <t>*C-29042021-662*</t>
  </si>
  <si>
    <t>*C-17062021-663*</t>
  </si>
  <si>
    <t>*C-17062021-664*</t>
  </si>
  <si>
    <t>*C-17062021-665*</t>
  </si>
  <si>
    <t>*C-24032022-666*</t>
  </si>
  <si>
    <t>*C-05042022-667*</t>
  </si>
  <si>
    <t>*C-07062022-668*</t>
  </si>
  <si>
    <t>*C-07032023-669*</t>
  </si>
  <si>
    <t>*C-17102023-670*</t>
  </si>
  <si>
    <t>*C-23122024-671*</t>
  </si>
  <si>
    <t>*C-13022025-672*</t>
  </si>
  <si>
    <t>*C-07032025-672*</t>
  </si>
  <si>
    <t>*C-45792-672*</t>
  </si>
  <si>
    <t>*C-45805-672*</t>
  </si>
  <si>
    <t>*C-45820-660*</t>
  </si>
  <si>
    <t>*C-45821-661*</t>
  </si>
  <si>
    <t>*C-45867-663*</t>
  </si>
  <si>
    <t>*C-45882-683*</t>
  </si>
  <si>
    <t>*C-45882-684*</t>
  </si>
  <si>
    <t>*C-45890-685*</t>
  </si>
  <si>
    <t>TOYOTA Hilux Vigo ກຄ5609</t>
  </si>
  <si>
    <t>HONDA Move ຈຈ9257</t>
  </si>
  <si>
    <t>TOYOTA FORTUNER ລລ1688</t>
  </si>
  <si>
    <t>TOYOTA VIOS ຫຫ1188</t>
  </si>
  <si>
    <t>TOYOTA Revo ຫລ1188</t>
  </si>
  <si>
    <t>HONDA WAVE100 ຈຍ1293</t>
  </si>
  <si>
    <t>HONDA WAVE100 ຈຈ6744</t>
  </si>
  <si>
    <t>HONDA WAVE100  ຈຈ6998</t>
  </si>
  <si>
    <t>FV0001</t>
  </si>
  <si>
    <t>FV0002</t>
  </si>
  <si>
    <t>FV0003</t>
  </si>
  <si>
    <t>FV0004</t>
  </si>
  <si>
    <t>FV0005</t>
  </si>
  <si>
    <t>FV0006</t>
  </si>
  <si>
    <t>FV0007</t>
  </si>
  <si>
    <t>FV0008</t>
  </si>
  <si>
    <t>2414.01</t>
  </si>
  <si>
    <t>20110601</t>
  </si>
  <si>
    <t>20151224</t>
  </si>
  <si>
    <t>20200203</t>
  </si>
  <si>
    <t>20230124</t>
  </si>
  <si>
    <t>NOW</t>
  </si>
  <si>
    <t>ຈໍານວນວັນທີ່ຫັກມາແລ້ວ</t>
  </si>
  <si>
    <t>ເງິນທີ່ຫັກຕໍ່ມື້</t>
  </si>
  <si>
    <t>ຫັກສະສົມເຖິງປັດຈຸບັນ</t>
  </si>
  <si>
    <t>Intangible Assets Computer Software - Cost</t>
  </si>
  <si>
    <t>2025-12-31</t>
  </si>
  <si>
    <t xml:space="preserve">APIS Accounting Program </t>
  </si>
  <si>
    <t>2422.01</t>
  </si>
  <si>
    <t>20180907</t>
  </si>
  <si>
    <t>20190620</t>
  </si>
  <si>
    <t>20100208</t>
  </si>
  <si>
    <t>20190315</t>
  </si>
  <si>
    <t>20211220</t>
  </si>
  <si>
    <t>20240913</t>
  </si>
  <si>
    <t>20250923</t>
  </si>
  <si>
    <t>2422.02</t>
  </si>
  <si>
    <t>2422.03</t>
  </si>
  <si>
    <t>2422.04</t>
  </si>
  <si>
    <t>2422.05</t>
  </si>
  <si>
    <t>2422.06</t>
  </si>
  <si>
    <t>2422.07</t>
  </si>
  <si>
    <t>2422.08</t>
  </si>
  <si>
    <t>2422.09</t>
  </si>
  <si>
    <t>*S-27032024-142*</t>
  </si>
  <si>
    <t>*S-13092024-143*</t>
  </si>
  <si>
    <t>FS0001</t>
  </si>
  <si>
    <t>FS0002</t>
  </si>
  <si>
    <t>FS0003</t>
  </si>
  <si>
    <t>FS0004</t>
  </si>
  <si>
    <t>FS0005</t>
  </si>
  <si>
    <t>FS0006</t>
  </si>
  <si>
    <t>FS0007</t>
  </si>
  <si>
    <t>FS0008</t>
  </si>
  <si>
    <t>FS0009</t>
  </si>
  <si>
    <t>2422.01-60M</t>
  </si>
  <si>
    <t>2414.01-60M</t>
  </si>
  <si>
    <t>2413.03-60M</t>
  </si>
  <si>
    <t>2413.01-60M</t>
  </si>
  <si>
    <t>2413.01-36M</t>
  </si>
  <si>
    <t>2411.01-60M</t>
  </si>
  <si>
    <t>In Stock</t>
  </si>
  <si>
    <t>Lenovo ThinkBook 14 G6/ i5-13500H/16GB (Laptops)</t>
  </si>
  <si>
    <t>Notebook Lenovo V15 Gen3 IAP_82TT0074FT , Core i3 1215U,Ram 8GB, SSD 256GB,  Window11</t>
  </si>
  <si>
    <t>ຄອມຕັ້ງໂຕະ</t>
  </si>
  <si>
    <t>ຊື້ອຸປະກອນ PRINTER EPSON ເຄື່ອງໃຊ້ຫ້ອງການຂອງສາຂາຫຼວງພະບາງ (1.499.000 ກີບ )'1. PRINTER EPSON L3110+INK TANK 1 ເຄື່ອງ</t>
  </si>
  <si>
    <t>Computer ຄ່າຄອມພິວເຕີ 1 ເຄື່ອງ HP PRODESK400-CORE I5 ຈ່າຍໃຫ້ຮ້ານ LT (VANNALY ONSAVATH MRS)ຈຳນວນ  4.799.000 ກີບ ພະແນກບັນຊີ-ການເງິນ ນາງ ພາລິສາ ປັນຍາວົງ . . .</t>
  </si>
  <si>
    <t>Computer ຄອມພີວເຕີຕັ້ງໂຕະ PC</t>
  </si>
  <si>
    <t>ຊື້ຄອມຕັ້ງໂຕະ 2 ຊຸດ ໃຫ້ພະນັກງານການຕະຫຼາດ 2 ຄົນ ນາງ ລິນດາ ມະນີວົງ + ນາງ ສີລິວັນ ສີສຸວັນ ( 8.998.000 ກີບ) ຈ່າຍໃຫ້ຮ້ານ LT SOLE CO.</t>
  </si>
  <si>
    <t xml:space="preserve">ຊື້ໂຕະເຫຼັກ + ຕັ່ງນັ່ງເຮັດວຽກ 1 ຊຸດ ໃຫ້ຫ້ອງການໃຫມ່ ສາຂາ ຈຳປາສັກ ( 7.100.000 ກີບ ) ຊື້ຮ້ານ ສິລິສົມບູນ </t>
  </si>
  <si>
    <t xml:space="preserve">ຊື້ໂຕະເຫຼັກ + ຕັ່ງນັ່ງເຮັດວຽກ 1 ຊຸດ ໃຫ້ຫ້ອງການໃຫມ່ ສາຂາສະຫວັນນະເຂດ ( 7.100.000 ກີບ ) ຊື້ຮ້ານ ນາງ ແບ໋ ບຸນທະວີຫຼັກ4 </t>
  </si>
  <si>
    <t xml:space="preserve">Test Acolho  ຊື້ເຄື່ອງເປົ່າທາດເຫຼົ້າ ທາງລົມຫາຍໃຈຂອງລູກຄ້າໃນເວລາເກີດອຸປະຕິເຫດ (ຂອງພະແນກເຄລມ ມໍເຕີ ) </t>
  </si>
  <si>
    <t xml:space="preserve">ຈ່າຍຄ່າເຄື່ອງ VIDEO CONFERENCE 1 ຊຸດເພື່ອໃຊ້ໃນການປະຊຸມແລະເຝິກອົບຮົມຕ່າງໆ ເລກທີ 0014/0721/ATT </t>
  </si>
  <si>
    <t xml:space="preserve">ຊື້ຕູ້ໃສ່ເອກະສານ 2 ບານແກ້ວເລື່ອນ ໃສ່ຫ້ອງທ່ານ ສອນເພັດ ພັນຕະມາ 1 ໜ່ວຍ ( 7.000 ບາດ) ຮ້ານ TS FURNITURE </t>
  </si>
  <si>
    <t xml:space="preserve">ຈ່າຍຄ່າຕູ້ໃສ່ເອກະສານ + ໂຕະ ເຮັດວຽກ ພະນັກງານ </t>
  </si>
  <si>
    <t>Table ຊື້ໂຕະນ້ອຍ ເພື່ອວ່າງໝໍ້ນ້ຳຮ້ອນ ຊັ້ນວາງ2ຊັ້ນ</t>
  </si>
  <si>
    <t>( Table ' Desk ) ໂຕະໄມ້ເຮັດວຽກ 1 ໜ່ວຍ (700.000 ກີບ )</t>
  </si>
  <si>
    <t>CHAIR Office</t>
  </si>
  <si>
    <t>Desk ຕັ່ງເຮັດວຽກ 1 ໜ້ວຍ (600.000 ກີບ )+50,000 ກີບ</t>
  </si>
  <si>
    <t>D-Work AB-V20-2412A 246x122x102cm ຊຸດໂຕະເຮັດວຽກ</t>
  </si>
  <si>
    <t>Table ຄ່າໂຕະໄມ້  ຕັ່ງນັ່ງເຮັດວຽກ 1 ໜ່ວຍ (450.000 ກີບ ) ຂອງພະນັກງານໃຫມ່</t>
  </si>
  <si>
    <t>ຊື້ໂຕະເຫຼັກ + ຕັ່ງນັ່ງເຮັດວຽກ 1 ຊຸດ ໃຫ້ຫ້ອງການໃຫມ່ ສາຂາ ຈຳປາສັກ ( 7.100.000 ກີບ ) ຊື້ຮ້ານ ສິລິສົມບູນ</t>
  </si>
  <si>
    <t>ຊື້ໂຕະເຫຼັກ + ຕັ່ງນັ່ງເຮັດວຽກ 1 ຊຸດ ໃຫ້ຫ້ອງການໃຫມ່ ສາຂາສະຫວັນນະເຂດ ( 7.100.000 ກີບ ) ຊື້ຮ້ານ ນາງ ແບ໋ ບຸນທະວີຫຼັກ4</t>
  </si>
  <si>
    <t>ຕູ້ເອກະສານ</t>
  </si>
  <si>
    <t>Filling Cabinet 4 drawers</t>
  </si>
  <si>
    <t>Self for Document</t>
  </si>
  <si>
    <t>Clean machine card ຊື້ເຄື່ອງທຳຄວາມສະອາດເຄື່ອງພີມບັດ 4,280 ບາດ ຄ່າທຳນຽມການໂອນ 60 ບາດ</t>
  </si>
  <si>
    <t>Test Acolho  ຊື້ເຄື່ອງເປົ່າທາດເຫຼົ້າ ທາງລົມຫາຍໃຈຂອງລູກຄ້າໃນເວລາເກີດອຸປະຕິເຫດ (ຂອງພະແນກເຄລມ ມໍເຕີ )</t>
  </si>
  <si>
    <t>ຈ່າຍຄ່າໂທລະສັບ SAMSUNG S6 EDGE BLACK 1 ໜ່ວຍ ( 13.017 ບາດ) ໃສ່ເບີສາຍດ່ວນພະແນກ ເຄລມມໍເຕີ ທ້າວ ທິນນາກອນ</t>
  </si>
  <si>
    <t>ຈ່າຍຄ່າ ໂທລະສັບ ໃຫ້ ພະແນກ ສິນໄຫມທົດແທນ ສຸຂະພາບ ຈຳນວນ 1 ເຄື່ອງ ( 12.790 ບາດ) ຍີ່ຫໍ້ SAMSUNG GALAXY NOTE5 32 GB ຊື້ເຄື່ອງໃຫມ່ເນື່ອງຈາກເຄື່ອງເກົາເພ່ແລ້ວ ບໍ່ສາມາດໃຊ້ງານໄດ້ . . . . . .</t>
  </si>
  <si>
    <t>ຊື້ຕູ້ໃສ່ເອກະສານ 2 ບານແກ້ວເລື່ອນ ໃສ່ຫ້ອງ ທ່ານ ອຳນວຍການ ທ່ານ ສອນເພັດ ພັນຕະມາ 1 ໜ່ວຍ ( 7.000 ບາດ) ຮ້ານ TS FURNITURE</t>
  </si>
  <si>
    <t>ຈ່າຍຄ່າຕູ້ໃສ່ເອກະສານ + ໂຕະ ເຮັດວຽກ ພະນັກງານ</t>
  </si>
  <si>
    <t>AIR GREE 18000BTU</t>
  </si>
  <si>
    <t>APIS Accounting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</si>
</sst>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7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name val="Phetsarath OT"/>
    </font>
    <font>
      <sz val="11"/>
      <color theme="1"/>
      <name val="Phetsarath OT"/>
    </font>
    <font>
      <b/>
      <sz val="11"/>
      <name val="Times New Roman"/>
      <family val="1"/>
      <charset val="222"/>
    </font>
    <font>
      <b/>
      <sz val="9"/>
      <color indexed="81"/>
      <name val="Tahoma"/>
      <family val="2"/>
    </font>
    <font>
      <sz val="8"/>
      <name val="Tahoma"/>
      <family val="2"/>
      <charset val="222"/>
      <scheme val="minor"/>
    </font>
    <font>
      <sz val="12"/>
      <name val="Phetsarath OT"/>
    </font>
    <font>
      <sz val="12"/>
      <color rgb="FFFF0000"/>
      <name val="Phetsarath OT"/>
    </font>
    <font>
      <sz val="22"/>
      <name val="3 of 9 Barcode"/>
      <family val="5"/>
    </font>
    <font>
      <sz val="22"/>
      <color rgb="FFFF0000"/>
      <name val="3 of 9 Barcode"/>
      <family val="5"/>
      <charset val="222"/>
    </font>
    <font>
      <sz val="11"/>
      <name val="3 of 9 Barcode"/>
      <family val="5"/>
    </font>
    <font>
      <sz val="11"/>
      <color rgb="FFFF0000"/>
      <name val="3 of 9 Barcode"/>
      <family val="5"/>
    </font>
    <font>
      <b/>
      <sz val="10"/>
      <name val="Times New Roman"/>
      <family val="1"/>
      <charset val="222"/>
    </font>
    <font>
      <sz val="10"/>
      <name val="3 of 9 Barcode"/>
      <family val="5"/>
    </font>
    <font>
      <sz val="10"/>
      <color rgb="FFFF0000"/>
      <name val="3 of 9 Barcode"/>
      <family val="5"/>
      <charset val="222"/>
    </font>
    <font>
      <sz val="10"/>
      <color theme="1"/>
      <name val="Tahoma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/>
    </xf>
    <xf numFmtId="2" fontId="2" fillId="2" borderId="1" xfId="1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2" borderId="0" xfId="0" applyFont="1" applyFill="1"/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7" fillId="2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187" fontId="7" fillId="2" borderId="3" xfId="2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187" fontId="0" fillId="0" borderId="0" xfId="0" applyNumberFormat="1"/>
    <xf numFmtId="43" fontId="0" fillId="0" borderId="0" xfId="0" applyNumberFormat="1"/>
    <xf numFmtId="0" fontId="7" fillId="0" borderId="1" xfId="0" applyFont="1" applyBorder="1" applyAlignment="1">
      <alignment horizontal="left" vertical="center"/>
    </xf>
    <xf numFmtId="14" fontId="7" fillId="2" borderId="0" xfId="0" applyNumberFormat="1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187" fontId="7" fillId="2" borderId="1" xfId="2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87" fontId="7" fillId="0" borderId="1" xfId="2" applyNumberFormat="1" applyFont="1" applyFill="1" applyBorder="1" applyAlignment="1">
      <alignment horizontal="left" vertical="center"/>
    </xf>
    <xf numFmtId="187" fontId="7" fillId="0" borderId="2" xfId="2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/>
    </xf>
    <xf numFmtId="187" fontId="8" fillId="5" borderId="1" xfId="2" applyNumberFormat="1" applyFont="1" applyFill="1" applyBorder="1" applyAlignment="1">
      <alignment horizontal="left" vertical="center"/>
    </xf>
    <xf numFmtId="187" fontId="7" fillId="6" borderId="1" xfId="2" applyNumberFormat="1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3" fontId="0" fillId="0" borderId="0" xfId="2" applyFont="1"/>
    <xf numFmtId="14" fontId="7" fillId="4" borderId="4" xfId="0" applyNumberFormat="1" applyFont="1" applyFill="1" applyBorder="1" applyAlignment="1">
      <alignment horizontal="center" vertical="center"/>
    </xf>
    <xf numFmtId="187" fontId="7" fillId="4" borderId="1" xfId="2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6" fillId="0" borderId="0" xfId="0" applyFont="1"/>
    <xf numFmtId="187" fontId="8" fillId="4" borderId="1" xfId="2" applyNumberFormat="1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</cellXfs>
  <cellStyles count="3">
    <cellStyle name="Comma" xfId="2" builtinId="3"/>
    <cellStyle name="Comma 2 2 2" xfId="1" xr:uid="{CC043122-19DB-42CF-B91F-0A1BCE5357F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2247-5865-44A1-88F3-6543601D545F}">
  <dimension ref="A1:T156"/>
  <sheetViews>
    <sheetView topLeftCell="G1" zoomScale="78" zoomScaleNormal="85" workbookViewId="0">
      <selection activeCell="L3" sqref="L3"/>
    </sheetView>
  </sheetViews>
  <sheetFormatPr defaultRowHeight="13.8"/>
  <cols>
    <col min="1" max="1" width="14.796875" bestFit="1" customWidth="1"/>
    <col min="2" max="2" width="77.5" customWidth="1"/>
    <col min="3" max="3" width="14.296875" style="15" customWidth="1"/>
    <col min="4" max="4" width="14.296875" customWidth="1"/>
    <col min="5" max="5" width="14.19921875" customWidth="1"/>
    <col min="6" max="6" width="24.8984375" bestFit="1" customWidth="1"/>
    <col min="7" max="14" width="14.296875" customWidth="1"/>
    <col min="15" max="15" width="35.5" bestFit="1" customWidth="1"/>
    <col min="16" max="18" width="14.296875" customWidth="1"/>
    <col min="20" max="20" width="10.5" bestFit="1" customWidth="1"/>
  </cols>
  <sheetData>
    <row r="1" spans="1:20" s="10" customFormat="1" ht="15.6">
      <c r="A1" s="1" t="s">
        <v>131</v>
      </c>
      <c r="B1" s="1" t="s">
        <v>132</v>
      </c>
      <c r="C1" s="14" t="s">
        <v>133</v>
      </c>
      <c r="D1" s="8" t="s">
        <v>134</v>
      </c>
      <c r="E1" s="1" t="s">
        <v>135</v>
      </c>
      <c r="F1" s="1" t="s">
        <v>136</v>
      </c>
      <c r="G1" s="3" t="s">
        <v>137</v>
      </c>
      <c r="H1" s="1" t="s">
        <v>138</v>
      </c>
      <c r="I1" s="4" t="s">
        <v>139</v>
      </c>
      <c r="J1" s="1" t="s">
        <v>140</v>
      </c>
      <c r="K1" s="1" t="s">
        <v>141</v>
      </c>
      <c r="L1" s="1" t="s">
        <v>142</v>
      </c>
      <c r="M1" s="1"/>
      <c r="N1" s="1" t="s">
        <v>143</v>
      </c>
      <c r="O1" s="5" t="s">
        <v>144</v>
      </c>
      <c r="P1" s="5"/>
      <c r="Q1" s="6" t="s">
        <v>145</v>
      </c>
      <c r="R1" s="9" t="s">
        <v>146</v>
      </c>
    </row>
    <row r="2" spans="1:20" ht="15.6">
      <c r="A2" t="s">
        <v>147</v>
      </c>
      <c r="B2" t="s">
        <v>0</v>
      </c>
      <c r="C2" s="15" t="s">
        <v>435</v>
      </c>
      <c r="D2">
        <v>20210713</v>
      </c>
      <c r="E2" t="s">
        <v>1</v>
      </c>
      <c r="F2">
        <v>20210713</v>
      </c>
      <c r="G2">
        <v>60</v>
      </c>
      <c r="H2" t="s">
        <v>2</v>
      </c>
      <c r="I2">
        <v>252000</v>
      </c>
      <c r="J2">
        <v>0</v>
      </c>
      <c r="K2">
        <v>1</v>
      </c>
      <c r="L2">
        <f>G2-S2</f>
        <v>7</v>
      </c>
      <c r="M2">
        <f>L2-1</f>
        <v>6</v>
      </c>
      <c r="N2">
        <v>104</v>
      </c>
      <c r="O2">
        <v>225350.13699999999</v>
      </c>
      <c r="P2">
        <f>ROUND(O2,2)</f>
        <v>225350.14</v>
      </c>
      <c r="Q2">
        <v>252000</v>
      </c>
      <c r="S2" s="7">
        <f>DATEDIF(DATE(LEFT(F2,4),MID(F2,5,2),MID(F2,7,2)), DATE(LEFT(T2,4),MID(T2,5,2),MID(T2,7,2)),"m")</f>
        <v>53</v>
      </c>
      <c r="T2" s="7">
        <v>20251231</v>
      </c>
    </row>
    <row r="3" spans="1:20" ht="15.6">
      <c r="A3" t="s">
        <v>148</v>
      </c>
      <c r="B3" t="s">
        <v>3</v>
      </c>
      <c r="C3" s="15">
        <v>2411.0100000000002</v>
      </c>
      <c r="D3">
        <v>20210128</v>
      </c>
      <c r="E3" t="s">
        <v>1</v>
      </c>
      <c r="F3">
        <v>20210128</v>
      </c>
      <c r="G3">
        <v>60</v>
      </c>
      <c r="H3" t="s">
        <v>2</v>
      </c>
      <c r="I3">
        <v>700000</v>
      </c>
      <c r="J3">
        <v>0</v>
      </c>
      <c r="K3">
        <v>1</v>
      </c>
      <c r="L3">
        <f t="shared" ref="L3:L33" si="0">G3-S3</f>
        <v>1</v>
      </c>
      <c r="M3">
        <v>0</v>
      </c>
      <c r="N3">
        <v>104</v>
      </c>
      <c r="O3">
        <f>I3</f>
        <v>700000</v>
      </c>
      <c r="P3">
        <f t="shared" ref="P3:P66" si="1">ROUND(O3, 2)</f>
        <v>700000</v>
      </c>
      <c r="Q3">
        <v>700000</v>
      </c>
      <c r="S3" s="7">
        <f t="shared" ref="S3:S33" si="2">DATEDIF(DATE(LEFT(F3,4),MID(F3,5,2),MID(F3,7,2)), DATE(LEFT(T3,4),MID(T3,5,2),MID(T3,7,2)),"m")</f>
        <v>59</v>
      </c>
      <c r="T3" s="7">
        <v>20251231</v>
      </c>
    </row>
    <row r="4" spans="1:20" ht="15.6">
      <c r="A4" t="s">
        <v>149</v>
      </c>
      <c r="B4" t="s">
        <v>4</v>
      </c>
      <c r="C4" s="15">
        <v>2411.0100000000002</v>
      </c>
      <c r="D4">
        <v>20210128</v>
      </c>
      <c r="E4" t="s">
        <v>1</v>
      </c>
      <c r="F4">
        <v>20210128</v>
      </c>
      <c r="G4">
        <v>60</v>
      </c>
      <c r="H4" t="s">
        <v>2</v>
      </c>
      <c r="I4">
        <v>1500000</v>
      </c>
      <c r="J4">
        <v>0</v>
      </c>
      <c r="K4">
        <v>1</v>
      </c>
      <c r="L4">
        <f t="shared" si="0"/>
        <v>1</v>
      </c>
      <c r="M4">
        <v>0</v>
      </c>
      <c r="N4">
        <v>104</v>
      </c>
      <c r="O4">
        <f>I4</f>
        <v>1500000</v>
      </c>
      <c r="P4">
        <f t="shared" si="1"/>
        <v>1500000</v>
      </c>
      <c r="Q4">
        <v>1500000</v>
      </c>
      <c r="S4" s="7">
        <f t="shared" si="2"/>
        <v>59</v>
      </c>
      <c r="T4" s="7">
        <v>20251231</v>
      </c>
    </row>
    <row r="5" spans="1:20" ht="15.6">
      <c r="A5" t="s">
        <v>150</v>
      </c>
      <c r="B5" t="s">
        <v>5</v>
      </c>
      <c r="C5" s="15">
        <v>2411.0100000000002</v>
      </c>
      <c r="D5">
        <v>20210914</v>
      </c>
      <c r="E5" t="s">
        <v>1</v>
      </c>
      <c r="F5">
        <v>20210914</v>
      </c>
      <c r="G5">
        <v>60</v>
      </c>
      <c r="H5" t="s">
        <v>2</v>
      </c>
      <c r="I5">
        <v>1381520</v>
      </c>
      <c r="J5">
        <v>0</v>
      </c>
      <c r="K5">
        <v>1</v>
      </c>
      <c r="L5">
        <f t="shared" si="0"/>
        <v>9</v>
      </c>
      <c r="M5">
        <f t="shared" ref="M5:M61" si="3">L5-1</f>
        <v>8</v>
      </c>
      <c r="N5">
        <v>104</v>
      </c>
      <c r="O5">
        <v>1187728.7009999999</v>
      </c>
      <c r="P5">
        <f t="shared" si="1"/>
        <v>1187728.7</v>
      </c>
      <c r="Q5">
        <v>1381520</v>
      </c>
      <c r="S5" s="7">
        <f t="shared" si="2"/>
        <v>51</v>
      </c>
      <c r="T5" s="7">
        <v>20251231</v>
      </c>
    </row>
    <row r="6" spans="1:20" ht="15.6">
      <c r="A6" t="s">
        <v>151</v>
      </c>
      <c r="B6" t="s">
        <v>6</v>
      </c>
      <c r="C6" s="15">
        <v>2411.0100000000002</v>
      </c>
      <c r="D6">
        <v>20240229</v>
      </c>
      <c r="E6" t="s">
        <v>1</v>
      </c>
      <c r="F6">
        <v>20240229</v>
      </c>
      <c r="G6">
        <v>60</v>
      </c>
      <c r="H6" t="s">
        <v>2</v>
      </c>
      <c r="I6">
        <v>1418820</v>
      </c>
      <c r="J6">
        <v>0</v>
      </c>
      <c r="K6">
        <v>1</v>
      </c>
      <c r="L6">
        <f t="shared" si="0"/>
        <v>38</v>
      </c>
      <c r="M6">
        <f t="shared" si="3"/>
        <v>37</v>
      </c>
      <c r="N6">
        <v>104</v>
      </c>
      <c r="O6">
        <v>521659.29859999998</v>
      </c>
      <c r="P6">
        <f t="shared" si="1"/>
        <v>521659.3</v>
      </c>
      <c r="Q6">
        <v>1418820</v>
      </c>
      <c r="R6" t="s">
        <v>7</v>
      </c>
      <c r="S6" s="7">
        <f t="shared" si="2"/>
        <v>22</v>
      </c>
      <c r="T6" s="7">
        <v>20251231</v>
      </c>
    </row>
    <row r="7" spans="1:20" ht="15.6">
      <c r="A7" t="s">
        <v>152</v>
      </c>
      <c r="B7" t="s">
        <v>6</v>
      </c>
      <c r="C7" s="15">
        <v>2411.0100000000002</v>
      </c>
      <c r="D7">
        <v>20240229</v>
      </c>
      <c r="E7" t="s">
        <v>1</v>
      </c>
      <c r="F7">
        <v>20240229</v>
      </c>
      <c r="G7">
        <v>60</v>
      </c>
      <c r="H7" t="s">
        <v>2</v>
      </c>
      <c r="I7">
        <v>1418820</v>
      </c>
      <c r="J7">
        <v>0</v>
      </c>
      <c r="K7">
        <v>1</v>
      </c>
      <c r="L7">
        <f t="shared" si="0"/>
        <v>38</v>
      </c>
      <c r="M7">
        <f t="shared" si="3"/>
        <v>37</v>
      </c>
      <c r="N7">
        <v>104</v>
      </c>
      <c r="O7">
        <v>521659.29859999998</v>
      </c>
      <c r="P7">
        <f t="shared" si="1"/>
        <v>521659.3</v>
      </c>
      <c r="Q7">
        <v>1418820</v>
      </c>
      <c r="R7" t="s">
        <v>8</v>
      </c>
      <c r="S7" s="7">
        <f t="shared" si="2"/>
        <v>22</v>
      </c>
      <c r="T7" s="7">
        <v>20251231</v>
      </c>
    </row>
    <row r="8" spans="1:20" ht="15.6">
      <c r="A8" t="s">
        <v>153</v>
      </c>
      <c r="B8" t="s">
        <v>6</v>
      </c>
      <c r="C8" s="15">
        <v>2411.0100000000002</v>
      </c>
      <c r="D8">
        <v>20240730</v>
      </c>
      <c r="E8" t="s">
        <v>1</v>
      </c>
      <c r="F8">
        <v>20240730</v>
      </c>
      <c r="G8">
        <v>60</v>
      </c>
      <c r="H8" t="s">
        <v>2</v>
      </c>
      <c r="I8">
        <v>1501500</v>
      </c>
      <c r="J8">
        <v>0</v>
      </c>
      <c r="K8">
        <v>1</v>
      </c>
      <c r="L8">
        <f t="shared" si="0"/>
        <v>43</v>
      </c>
      <c r="M8">
        <f t="shared" si="3"/>
        <v>42</v>
      </c>
      <c r="N8">
        <v>104</v>
      </c>
      <c r="O8">
        <v>427001.9178</v>
      </c>
      <c r="P8">
        <f t="shared" si="1"/>
        <v>427001.92</v>
      </c>
      <c r="Q8">
        <v>1501500</v>
      </c>
      <c r="R8" t="s">
        <v>9</v>
      </c>
      <c r="S8" s="7">
        <f t="shared" si="2"/>
        <v>17</v>
      </c>
      <c r="T8" s="7">
        <v>20251231</v>
      </c>
    </row>
    <row r="9" spans="1:20" ht="15.6">
      <c r="A9" t="s">
        <v>154</v>
      </c>
      <c r="B9" t="s">
        <v>10</v>
      </c>
      <c r="C9" s="15">
        <v>2411.0100000000002</v>
      </c>
      <c r="D9">
        <v>20230315</v>
      </c>
      <c r="E9" t="s">
        <v>1</v>
      </c>
      <c r="F9">
        <v>20230315</v>
      </c>
      <c r="G9">
        <v>60</v>
      </c>
      <c r="H9" t="s">
        <v>2</v>
      </c>
      <c r="I9">
        <v>919117</v>
      </c>
      <c r="J9">
        <v>0</v>
      </c>
      <c r="K9">
        <v>1</v>
      </c>
      <c r="L9">
        <f t="shared" si="0"/>
        <v>27</v>
      </c>
      <c r="M9">
        <f t="shared" si="3"/>
        <v>26</v>
      </c>
      <c r="N9">
        <v>104</v>
      </c>
      <c r="O9">
        <v>514705.52</v>
      </c>
      <c r="P9">
        <f t="shared" si="1"/>
        <v>514705.52</v>
      </c>
      <c r="Q9">
        <v>919117</v>
      </c>
      <c r="S9" s="7">
        <f t="shared" si="2"/>
        <v>33</v>
      </c>
      <c r="T9" s="7">
        <v>20251231</v>
      </c>
    </row>
    <row r="10" spans="1:20" ht="15.6">
      <c r="A10" t="s">
        <v>155</v>
      </c>
      <c r="B10" t="s">
        <v>11</v>
      </c>
      <c r="C10" s="15">
        <v>2411.0100000000002</v>
      </c>
      <c r="D10">
        <v>20231018</v>
      </c>
      <c r="E10" t="s">
        <v>1</v>
      </c>
      <c r="F10">
        <v>20231018</v>
      </c>
      <c r="G10">
        <v>60</v>
      </c>
      <c r="H10" t="s">
        <v>2</v>
      </c>
      <c r="I10">
        <v>25844720</v>
      </c>
      <c r="J10">
        <v>0</v>
      </c>
      <c r="K10">
        <v>1</v>
      </c>
      <c r="L10">
        <f t="shared" si="0"/>
        <v>34</v>
      </c>
      <c r="M10">
        <f t="shared" si="3"/>
        <v>33</v>
      </c>
      <c r="N10">
        <v>104</v>
      </c>
      <c r="O10">
        <v>11399999.779999999</v>
      </c>
      <c r="P10">
        <f t="shared" si="1"/>
        <v>11399999.779999999</v>
      </c>
      <c r="Q10">
        <v>25844720</v>
      </c>
      <c r="S10" s="7">
        <f t="shared" si="2"/>
        <v>26</v>
      </c>
      <c r="T10" s="7">
        <v>20251231</v>
      </c>
    </row>
    <row r="11" spans="1:20" ht="15.6">
      <c r="A11" t="s">
        <v>156</v>
      </c>
      <c r="B11" t="s">
        <v>12</v>
      </c>
      <c r="C11" s="15">
        <v>2411.0100000000002</v>
      </c>
      <c r="D11">
        <v>20210128</v>
      </c>
      <c r="E11" t="s">
        <v>1</v>
      </c>
      <c r="F11">
        <v>20210128</v>
      </c>
      <c r="G11">
        <v>60</v>
      </c>
      <c r="H11" t="s">
        <v>2</v>
      </c>
      <c r="I11">
        <v>650000</v>
      </c>
      <c r="J11">
        <v>0</v>
      </c>
      <c r="K11">
        <v>1</v>
      </c>
      <c r="L11">
        <f t="shared" si="0"/>
        <v>1</v>
      </c>
      <c r="M11">
        <v>0</v>
      </c>
      <c r="N11">
        <v>104</v>
      </c>
      <c r="O11">
        <f>I11</f>
        <v>650000</v>
      </c>
      <c r="P11">
        <f t="shared" si="1"/>
        <v>650000</v>
      </c>
      <c r="Q11">
        <v>650000</v>
      </c>
      <c r="S11" s="7">
        <f t="shared" si="2"/>
        <v>59</v>
      </c>
      <c r="T11" s="7">
        <v>20251231</v>
      </c>
    </row>
    <row r="12" spans="1:20" ht="15.6">
      <c r="A12" t="s">
        <v>157</v>
      </c>
      <c r="B12" t="s">
        <v>13</v>
      </c>
      <c r="C12" s="15">
        <v>2411.0100000000002</v>
      </c>
      <c r="D12">
        <v>20241104</v>
      </c>
      <c r="E12" t="s">
        <v>1</v>
      </c>
      <c r="F12">
        <v>20241104</v>
      </c>
      <c r="G12">
        <v>60</v>
      </c>
      <c r="H12" t="s">
        <v>2</v>
      </c>
      <c r="I12">
        <v>2431000</v>
      </c>
      <c r="J12">
        <v>0</v>
      </c>
      <c r="K12">
        <v>1</v>
      </c>
      <c r="L12">
        <f t="shared" si="0"/>
        <v>47</v>
      </c>
      <c r="M12">
        <f t="shared" si="3"/>
        <v>46</v>
      </c>
      <c r="N12">
        <v>104</v>
      </c>
      <c r="O12">
        <v>562127.12329999998</v>
      </c>
      <c r="P12">
        <f t="shared" si="1"/>
        <v>562127.12</v>
      </c>
      <c r="Q12">
        <v>2431000</v>
      </c>
      <c r="R12" t="s">
        <v>14</v>
      </c>
      <c r="S12" s="7">
        <f t="shared" si="2"/>
        <v>13</v>
      </c>
      <c r="T12" s="7">
        <v>20251231</v>
      </c>
    </row>
    <row r="13" spans="1:20" ht="15.6">
      <c r="A13" t="s">
        <v>158</v>
      </c>
      <c r="B13" t="s">
        <v>13</v>
      </c>
      <c r="C13" s="15">
        <v>2411.0100000000002</v>
      </c>
      <c r="D13">
        <v>20241104</v>
      </c>
      <c r="E13" t="s">
        <v>1</v>
      </c>
      <c r="F13">
        <v>20241104</v>
      </c>
      <c r="G13">
        <v>60</v>
      </c>
      <c r="H13" t="s">
        <v>2</v>
      </c>
      <c r="I13">
        <v>2431000</v>
      </c>
      <c r="J13">
        <v>0</v>
      </c>
      <c r="K13">
        <v>1</v>
      </c>
      <c r="L13">
        <f t="shared" si="0"/>
        <v>47</v>
      </c>
      <c r="M13">
        <f t="shared" si="3"/>
        <v>46</v>
      </c>
      <c r="N13">
        <v>104</v>
      </c>
      <c r="O13">
        <v>562127.12329999998</v>
      </c>
      <c r="P13">
        <f t="shared" si="1"/>
        <v>562127.12</v>
      </c>
      <c r="Q13">
        <v>2431000</v>
      </c>
      <c r="R13" t="s">
        <v>15</v>
      </c>
      <c r="S13" s="7">
        <f t="shared" si="2"/>
        <v>13</v>
      </c>
      <c r="T13" s="7">
        <v>20251231</v>
      </c>
    </row>
    <row r="14" spans="1:20" ht="15.6">
      <c r="A14" t="s">
        <v>159</v>
      </c>
      <c r="B14" t="s">
        <v>13</v>
      </c>
      <c r="C14" s="15">
        <v>2411.0100000000002</v>
      </c>
      <c r="D14">
        <v>20241104</v>
      </c>
      <c r="E14" t="s">
        <v>1</v>
      </c>
      <c r="F14">
        <v>20241104</v>
      </c>
      <c r="G14">
        <v>60</v>
      </c>
      <c r="H14" t="s">
        <v>2</v>
      </c>
      <c r="I14">
        <v>2431000</v>
      </c>
      <c r="J14">
        <v>0</v>
      </c>
      <c r="K14">
        <v>1</v>
      </c>
      <c r="L14">
        <f t="shared" si="0"/>
        <v>47</v>
      </c>
      <c r="M14">
        <f t="shared" si="3"/>
        <v>46</v>
      </c>
      <c r="N14">
        <v>104</v>
      </c>
      <c r="O14">
        <v>562127.12329999998</v>
      </c>
      <c r="P14">
        <f t="shared" si="1"/>
        <v>562127.12</v>
      </c>
      <c r="Q14">
        <v>2431000</v>
      </c>
      <c r="R14" t="s">
        <v>16</v>
      </c>
      <c r="S14" s="7">
        <f t="shared" si="2"/>
        <v>13</v>
      </c>
      <c r="T14" s="7">
        <v>20251231</v>
      </c>
    </row>
    <row r="15" spans="1:20" ht="15.6">
      <c r="A15" t="s">
        <v>160</v>
      </c>
      <c r="B15" t="s">
        <v>13</v>
      </c>
      <c r="C15" s="15">
        <v>2411.0100000000002</v>
      </c>
      <c r="D15">
        <v>20241104</v>
      </c>
      <c r="E15" t="s">
        <v>1</v>
      </c>
      <c r="F15">
        <v>20241104</v>
      </c>
      <c r="G15">
        <v>60</v>
      </c>
      <c r="H15" t="s">
        <v>2</v>
      </c>
      <c r="I15">
        <v>2431000</v>
      </c>
      <c r="J15">
        <v>0</v>
      </c>
      <c r="K15">
        <v>1</v>
      </c>
      <c r="L15">
        <f t="shared" si="0"/>
        <v>47</v>
      </c>
      <c r="M15">
        <f t="shared" si="3"/>
        <v>46</v>
      </c>
      <c r="N15">
        <v>104</v>
      </c>
      <c r="O15">
        <v>562127.12329999998</v>
      </c>
      <c r="P15">
        <f t="shared" si="1"/>
        <v>562127.12</v>
      </c>
      <c r="Q15">
        <v>2431000</v>
      </c>
      <c r="R15" t="s">
        <v>17</v>
      </c>
      <c r="S15" s="7">
        <f t="shared" si="2"/>
        <v>13</v>
      </c>
      <c r="T15" s="7">
        <v>20251231</v>
      </c>
    </row>
    <row r="16" spans="1:20" ht="15.6">
      <c r="A16" t="s">
        <v>161</v>
      </c>
      <c r="B16" t="s">
        <v>18</v>
      </c>
      <c r="C16" s="15">
        <v>2411.0100000000002</v>
      </c>
      <c r="D16">
        <v>20241014</v>
      </c>
      <c r="E16" t="s">
        <v>1</v>
      </c>
      <c r="F16">
        <v>20241014</v>
      </c>
      <c r="G16">
        <v>60</v>
      </c>
      <c r="H16" t="s">
        <v>2</v>
      </c>
      <c r="I16">
        <v>670615</v>
      </c>
      <c r="J16">
        <v>0</v>
      </c>
      <c r="K16">
        <v>1</v>
      </c>
      <c r="L16">
        <f t="shared" si="0"/>
        <v>46</v>
      </c>
      <c r="M16">
        <f t="shared" si="3"/>
        <v>45</v>
      </c>
      <c r="N16">
        <v>104</v>
      </c>
      <c r="O16">
        <v>162784.9014</v>
      </c>
      <c r="P16">
        <f t="shared" si="1"/>
        <v>162784.9</v>
      </c>
      <c r="Q16">
        <v>670615</v>
      </c>
      <c r="R16" t="s">
        <v>19</v>
      </c>
      <c r="S16" s="7">
        <f t="shared" si="2"/>
        <v>14</v>
      </c>
      <c r="T16" s="7">
        <v>20251231</v>
      </c>
    </row>
    <row r="17" spans="1:20" ht="15.6">
      <c r="A17" t="s">
        <v>162</v>
      </c>
      <c r="B17" t="s">
        <v>18</v>
      </c>
      <c r="C17" s="15">
        <v>2411.0100000000002</v>
      </c>
      <c r="D17">
        <v>20241014</v>
      </c>
      <c r="E17" t="s">
        <v>1</v>
      </c>
      <c r="F17">
        <v>20241014</v>
      </c>
      <c r="G17">
        <v>60</v>
      </c>
      <c r="H17" t="s">
        <v>2</v>
      </c>
      <c r="I17">
        <v>670615</v>
      </c>
      <c r="J17">
        <v>0</v>
      </c>
      <c r="K17">
        <v>1</v>
      </c>
      <c r="L17">
        <f t="shared" si="0"/>
        <v>46</v>
      </c>
      <c r="M17">
        <f t="shared" si="3"/>
        <v>45</v>
      </c>
      <c r="N17">
        <v>104</v>
      </c>
      <c r="O17">
        <v>162784.9014</v>
      </c>
      <c r="P17">
        <f t="shared" si="1"/>
        <v>162784.9</v>
      </c>
      <c r="Q17">
        <v>670615</v>
      </c>
      <c r="R17" t="s">
        <v>20</v>
      </c>
      <c r="S17" s="7">
        <f t="shared" si="2"/>
        <v>14</v>
      </c>
      <c r="T17" s="7">
        <v>20251231</v>
      </c>
    </row>
    <row r="18" spans="1:20" ht="15.6">
      <c r="A18" t="s">
        <v>163</v>
      </c>
      <c r="B18" t="s">
        <v>18</v>
      </c>
      <c r="C18" s="15">
        <v>2411.0100000000002</v>
      </c>
      <c r="D18">
        <v>20241014</v>
      </c>
      <c r="E18" t="s">
        <v>1</v>
      </c>
      <c r="F18">
        <v>20241014</v>
      </c>
      <c r="G18">
        <v>60</v>
      </c>
      <c r="H18" t="s">
        <v>2</v>
      </c>
      <c r="I18">
        <v>670615</v>
      </c>
      <c r="J18">
        <v>0</v>
      </c>
      <c r="K18">
        <v>1</v>
      </c>
      <c r="L18">
        <f t="shared" si="0"/>
        <v>46</v>
      </c>
      <c r="M18">
        <f t="shared" si="3"/>
        <v>45</v>
      </c>
      <c r="N18">
        <v>104</v>
      </c>
      <c r="O18">
        <v>162784.9014</v>
      </c>
      <c r="P18">
        <f t="shared" si="1"/>
        <v>162784.9</v>
      </c>
      <c r="Q18">
        <v>670615</v>
      </c>
      <c r="R18" t="s">
        <v>21</v>
      </c>
      <c r="S18" s="7">
        <f t="shared" si="2"/>
        <v>14</v>
      </c>
      <c r="T18" s="7">
        <v>20251231</v>
      </c>
    </row>
    <row r="19" spans="1:20" ht="15.6">
      <c r="A19" t="s">
        <v>164</v>
      </c>
      <c r="B19" t="s">
        <v>18</v>
      </c>
      <c r="C19" s="15">
        <v>2411.0100000000002</v>
      </c>
      <c r="D19">
        <v>20241014</v>
      </c>
      <c r="E19" t="s">
        <v>1</v>
      </c>
      <c r="F19">
        <v>20241014</v>
      </c>
      <c r="G19">
        <v>60</v>
      </c>
      <c r="H19" t="s">
        <v>2</v>
      </c>
      <c r="I19">
        <v>670615</v>
      </c>
      <c r="J19">
        <v>0</v>
      </c>
      <c r="K19">
        <v>1</v>
      </c>
      <c r="L19">
        <f t="shared" si="0"/>
        <v>46</v>
      </c>
      <c r="M19">
        <f t="shared" si="3"/>
        <v>45</v>
      </c>
      <c r="N19">
        <v>104</v>
      </c>
      <c r="O19">
        <v>162784.9014</v>
      </c>
      <c r="P19">
        <f t="shared" si="1"/>
        <v>162784.9</v>
      </c>
      <c r="Q19">
        <v>670615</v>
      </c>
      <c r="R19" t="s">
        <v>22</v>
      </c>
      <c r="S19" s="7">
        <f t="shared" si="2"/>
        <v>14</v>
      </c>
      <c r="T19" s="7">
        <v>20251231</v>
      </c>
    </row>
    <row r="20" spans="1:20" ht="15.6">
      <c r="A20" t="s">
        <v>165</v>
      </c>
      <c r="B20" t="s">
        <v>18</v>
      </c>
      <c r="C20" s="15">
        <v>2411.0100000000002</v>
      </c>
      <c r="D20">
        <v>20241014</v>
      </c>
      <c r="E20" t="s">
        <v>1</v>
      </c>
      <c r="F20">
        <v>20241014</v>
      </c>
      <c r="G20">
        <v>60</v>
      </c>
      <c r="H20" t="s">
        <v>2</v>
      </c>
      <c r="I20">
        <v>670615</v>
      </c>
      <c r="J20">
        <v>0</v>
      </c>
      <c r="K20">
        <v>1</v>
      </c>
      <c r="L20">
        <f t="shared" si="0"/>
        <v>46</v>
      </c>
      <c r="M20">
        <f t="shared" si="3"/>
        <v>45</v>
      </c>
      <c r="N20">
        <v>104</v>
      </c>
      <c r="O20">
        <v>162784.9014</v>
      </c>
      <c r="P20">
        <f t="shared" si="1"/>
        <v>162784.9</v>
      </c>
      <c r="Q20">
        <v>670615</v>
      </c>
      <c r="R20" t="s">
        <v>23</v>
      </c>
      <c r="S20" s="7">
        <f t="shared" si="2"/>
        <v>14</v>
      </c>
      <c r="T20" s="7">
        <v>20251231</v>
      </c>
    </row>
    <row r="21" spans="1:20" ht="15.6">
      <c r="A21" t="s">
        <v>166</v>
      </c>
      <c r="B21" t="s">
        <v>18</v>
      </c>
      <c r="C21" s="15">
        <v>2411.0100000000002</v>
      </c>
      <c r="D21">
        <v>20241014</v>
      </c>
      <c r="E21" t="s">
        <v>1</v>
      </c>
      <c r="F21">
        <v>20241014</v>
      </c>
      <c r="G21">
        <v>60</v>
      </c>
      <c r="H21" t="s">
        <v>2</v>
      </c>
      <c r="I21">
        <v>670615</v>
      </c>
      <c r="J21">
        <v>0</v>
      </c>
      <c r="K21">
        <v>1</v>
      </c>
      <c r="L21">
        <f t="shared" si="0"/>
        <v>46</v>
      </c>
      <c r="M21">
        <f t="shared" si="3"/>
        <v>45</v>
      </c>
      <c r="N21">
        <v>104</v>
      </c>
      <c r="O21">
        <v>162784.9014</v>
      </c>
      <c r="P21">
        <f t="shared" si="1"/>
        <v>162784.9</v>
      </c>
      <c r="Q21">
        <v>670615</v>
      </c>
      <c r="R21" t="s">
        <v>24</v>
      </c>
      <c r="S21" s="7">
        <f t="shared" si="2"/>
        <v>14</v>
      </c>
      <c r="T21" s="7">
        <v>20251231</v>
      </c>
    </row>
    <row r="22" spans="1:20" ht="15.6">
      <c r="A22" t="s">
        <v>167</v>
      </c>
      <c r="B22" t="s">
        <v>18</v>
      </c>
      <c r="C22" s="15">
        <v>2411.0100000000002</v>
      </c>
      <c r="D22">
        <v>20241014</v>
      </c>
      <c r="E22" t="s">
        <v>1</v>
      </c>
      <c r="F22">
        <v>20241014</v>
      </c>
      <c r="G22">
        <v>60</v>
      </c>
      <c r="H22" t="s">
        <v>2</v>
      </c>
      <c r="I22">
        <v>670615</v>
      </c>
      <c r="J22">
        <v>0</v>
      </c>
      <c r="K22">
        <v>1</v>
      </c>
      <c r="L22">
        <f t="shared" si="0"/>
        <v>46</v>
      </c>
      <c r="M22">
        <f t="shared" si="3"/>
        <v>45</v>
      </c>
      <c r="N22">
        <v>104</v>
      </c>
      <c r="O22">
        <v>162784.9014</v>
      </c>
      <c r="P22">
        <f t="shared" si="1"/>
        <v>162784.9</v>
      </c>
      <c r="Q22">
        <v>670615</v>
      </c>
      <c r="R22" t="s">
        <v>25</v>
      </c>
      <c r="S22" s="7">
        <f t="shared" si="2"/>
        <v>14</v>
      </c>
      <c r="T22" s="7">
        <v>20251231</v>
      </c>
    </row>
    <row r="23" spans="1:20" ht="15.6">
      <c r="A23" t="s">
        <v>168</v>
      </c>
      <c r="B23" t="s">
        <v>18</v>
      </c>
      <c r="C23" s="15">
        <v>2411.0100000000002</v>
      </c>
      <c r="D23">
        <v>20241014</v>
      </c>
      <c r="E23" t="s">
        <v>1</v>
      </c>
      <c r="F23">
        <v>20241014</v>
      </c>
      <c r="G23">
        <v>60</v>
      </c>
      <c r="H23" t="s">
        <v>2</v>
      </c>
      <c r="I23">
        <v>670615</v>
      </c>
      <c r="J23">
        <v>0</v>
      </c>
      <c r="K23">
        <v>1</v>
      </c>
      <c r="L23">
        <f t="shared" si="0"/>
        <v>46</v>
      </c>
      <c r="M23">
        <f t="shared" si="3"/>
        <v>45</v>
      </c>
      <c r="N23">
        <v>104</v>
      </c>
      <c r="O23">
        <v>162784.9014</v>
      </c>
      <c r="P23">
        <f t="shared" si="1"/>
        <v>162784.9</v>
      </c>
      <c r="Q23">
        <v>670615</v>
      </c>
      <c r="R23" t="s">
        <v>26</v>
      </c>
      <c r="S23" s="7">
        <f t="shared" si="2"/>
        <v>14</v>
      </c>
      <c r="T23" s="7">
        <v>20251231</v>
      </c>
    </row>
    <row r="24" spans="1:20" ht="15.6">
      <c r="A24" t="s">
        <v>169</v>
      </c>
      <c r="B24" t="s">
        <v>18</v>
      </c>
      <c r="C24" s="15">
        <v>2411.0100000000002</v>
      </c>
      <c r="D24">
        <v>20241014</v>
      </c>
      <c r="E24" t="s">
        <v>1</v>
      </c>
      <c r="F24">
        <v>20241014</v>
      </c>
      <c r="G24">
        <v>60</v>
      </c>
      <c r="H24" t="s">
        <v>2</v>
      </c>
      <c r="I24">
        <v>670615</v>
      </c>
      <c r="J24">
        <v>0</v>
      </c>
      <c r="K24">
        <v>1</v>
      </c>
      <c r="L24">
        <f t="shared" si="0"/>
        <v>46</v>
      </c>
      <c r="M24">
        <f t="shared" si="3"/>
        <v>45</v>
      </c>
      <c r="N24">
        <v>104</v>
      </c>
      <c r="O24">
        <v>162784.9014</v>
      </c>
      <c r="P24">
        <f t="shared" si="1"/>
        <v>162784.9</v>
      </c>
      <c r="Q24">
        <v>670615</v>
      </c>
      <c r="R24" t="s">
        <v>27</v>
      </c>
      <c r="S24" s="7">
        <f t="shared" si="2"/>
        <v>14</v>
      </c>
      <c r="T24" s="7">
        <v>20251231</v>
      </c>
    </row>
    <row r="25" spans="1:20" ht="15.6">
      <c r="A25" t="s">
        <v>170</v>
      </c>
      <c r="B25" t="s">
        <v>18</v>
      </c>
      <c r="C25" s="15">
        <v>2411.0100000000002</v>
      </c>
      <c r="D25">
        <v>20241014</v>
      </c>
      <c r="E25" t="s">
        <v>1</v>
      </c>
      <c r="F25">
        <v>20241014</v>
      </c>
      <c r="G25">
        <v>60</v>
      </c>
      <c r="H25" t="s">
        <v>2</v>
      </c>
      <c r="I25">
        <v>670615</v>
      </c>
      <c r="J25">
        <v>0</v>
      </c>
      <c r="K25">
        <v>1</v>
      </c>
      <c r="L25">
        <f t="shared" si="0"/>
        <v>46</v>
      </c>
      <c r="M25">
        <f t="shared" si="3"/>
        <v>45</v>
      </c>
      <c r="N25">
        <v>104</v>
      </c>
      <c r="O25">
        <v>162784.9014</v>
      </c>
      <c r="P25">
        <f t="shared" si="1"/>
        <v>162784.9</v>
      </c>
      <c r="Q25">
        <v>670615</v>
      </c>
      <c r="R25" t="s">
        <v>28</v>
      </c>
      <c r="S25" s="7">
        <f t="shared" si="2"/>
        <v>14</v>
      </c>
      <c r="T25" s="7">
        <v>20251231</v>
      </c>
    </row>
    <row r="26" spans="1:20" ht="15.6">
      <c r="A26" t="s">
        <v>171</v>
      </c>
      <c r="B26" t="s">
        <v>18</v>
      </c>
      <c r="C26" s="15">
        <v>2411.0100000000002</v>
      </c>
      <c r="D26">
        <v>20241014</v>
      </c>
      <c r="E26" t="s">
        <v>1</v>
      </c>
      <c r="F26">
        <v>20241014</v>
      </c>
      <c r="G26">
        <v>60</v>
      </c>
      <c r="H26" t="s">
        <v>2</v>
      </c>
      <c r="I26">
        <v>670615</v>
      </c>
      <c r="J26">
        <v>0</v>
      </c>
      <c r="K26">
        <v>1</v>
      </c>
      <c r="L26">
        <f t="shared" si="0"/>
        <v>46</v>
      </c>
      <c r="M26">
        <f t="shared" si="3"/>
        <v>45</v>
      </c>
      <c r="N26">
        <v>104</v>
      </c>
      <c r="O26">
        <v>162784.9014</v>
      </c>
      <c r="P26">
        <f t="shared" si="1"/>
        <v>162784.9</v>
      </c>
      <c r="Q26">
        <v>670615</v>
      </c>
      <c r="R26" t="s">
        <v>29</v>
      </c>
      <c r="S26" s="7">
        <f t="shared" si="2"/>
        <v>14</v>
      </c>
      <c r="T26" s="7">
        <v>20251231</v>
      </c>
    </row>
    <row r="27" spans="1:20" ht="15.6">
      <c r="A27" t="s">
        <v>172</v>
      </c>
      <c r="B27" t="s">
        <v>18</v>
      </c>
      <c r="C27" s="15">
        <v>2411.0100000000002</v>
      </c>
      <c r="D27">
        <v>20241014</v>
      </c>
      <c r="E27" t="s">
        <v>1</v>
      </c>
      <c r="F27">
        <v>20241014</v>
      </c>
      <c r="G27">
        <v>60</v>
      </c>
      <c r="H27" t="s">
        <v>2</v>
      </c>
      <c r="I27">
        <v>670615</v>
      </c>
      <c r="J27">
        <v>0</v>
      </c>
      <c r="K27">
        <v>1</v>
      </c>
      <c r="L27">
        <f t="shared" si="0"/>
        <v>46</v>
      </c>
      <c r="M27">
        <f t="shared" si="3"/>
        <v>45</v>
      </c>
      <c r="N27">
        <v>104</v>
      </c>
      <c r="O27">
        <v>162784.9014</v>
      </c>
      <c r="P27">
        <f t="shared" si="1"/>
        <v>162784.9</v>
      </c>
      <c r="Q27">
        <v>670615</v>
      </c>
      <c r="R27" t="s">
        <v>30</v>
      </c>
      <c r="S27" s="7">
        <f t="shared" si="2"/>
        <v>14</v>
      </c>
      <c r="T27" s="7">
        <v>20251231</v>
      </c>
    </row>
    <row r="28" spans="1:20" ht="15.6">
      <c r="A28" t="s">
        <v>173</v>
      </c>
      <c r="B28" t="s">
        <v>18</v>
      </c>
      <c r="C28" s="15">
        <v>2411.0100000000002</v>
      </c>
      <c r="D28">
        <v>20241014</v>
      </c>
      <c r="E28" t="s">
        <v>1</v>
      </c>
      <c r="F28">
        <v>20241014</v>
      </c>
      <c r="G28">
        <v>60</v>
      </c>
      <c r="H28" t="s">
        <v>2</v>
      </c>
      <c r="I28">
        <v>670615</v>
      </c>
      <c r="J28">
        <v>0</v>
      </c>
      <c r="K28">
        <v>1</v>
      </c>
      <c r="L28">
        <f t="shared" si="0"/>
        <v>46</v>
      </c>
      <c r="M28">
        <f t="shared" si="3"/>
        <v>45</v>
      </c>
      <c r="N28">
        <v>104</v>
      </c>
      <c r="O28">
        <v>162784.9014</v>
      </c>
      <c r="P28">
        <f t="shared" si="1"/>
        <v>162784.9</v>
      </c>
      <c r="Q28">
        <v>670615</v>
      </c>
      <c r="R28" t="s">
        <v>31</v>
      </c>
      <c r="S28" s="7">
        <f t="shared" si="2"/>
        <v>14</v>
      </c>
      <c r="T28" s="7">
        <v>20251231</v>
      </c>
    </row>
    <row r="29" spans="1:20" ht="15.6">
      <c r="A29" t="s">
        <v>174</v>
      </c>
      <c r="B29" t="s">
        <v>18</v>
      </c>
      <c r="C29" s="15">
        <v>2411.0100000000002</v>
      </c>
      <c r="D29">
        <v>20241014</v>
      </c>
      <c r="E29" t="s">
        <v>1</v>
      </c>
      <c r="F29">
        <v>20241014</v>
      </c>
      <c r="G29">
        <v>60</v>
      </c>
      <c r="H29" t="s">
        <v>2</v>
      </c>
      <c r="I29">
        <v>670615</v>
      </c>
      <c r="J29">
        <v>0</v>
      </c>
      <c r="K29">
        <v>1</v>
      </c>
      <c r="L29">
        <f t="shared" si="0"/>
        <v>46</v>
      </c>
      <c r="M29">
        <f t="shared" si="3"/>
        <v>45</v>
      </c>
      <c r="N29">
        <v>104</v>
      </c>
      <c r="O29">
        <v>162784.9014</v>
      </c>
      <c r="P29">
        <f t="shared" si="1"/>
        <v>162784.9</v>
      </c>
      <c r="Q29">
        <v>670615</v>
      </c>
      <c r="R29" t="s">
        <v>32</v>
      </c>
      <c r="S29" s="7">
        <f t="shared" si="2"/>
        <v>14</v>
      </c>
      <c r="T29" s="7">
        <v>20251231</v>
      </c>
    </row>
    <row r="30" spans="1:20" ht="15.6">
      <c r="A30" t="s">
        <v>175</v>
      </c>
      <c r="B30" t="s">
        <v>18</v>
      </c>
      <c r="C30" s="15">
        <v>2411.0100000000002</v>
      </c>
      <c r="D30">
        <v>20241014</v>
      </c>
      <c r="E30" t="s">
        <v>1</v>
      </c>
      <c r="F30">
        <v>20241014</v>
      </c>
      <c r="G30">
        <v>60</v>
      </c>
      <c r="H30" t="s">
        <v>2</v>
      </c>
      <c r="I30">
        <v>670615</v>
      </c>
      <c r="J30">
        <v>0</v>
      </c>
      <c r="K30">
        <v>1</v>
      </c>
      <c r="L30">
        <f t="shared" si="0"/>
        <v>46</v>
      </c>
      <c r="M30">
        <f t="shared" si="3"/>
        <v>45</v>
      </c>
      <c r="N30">
        <v>104</v>
      </c>
      <c r="O30">
        <v>162784.9014</v>
      </c>
      <c r="P30">
        <f t="shared" si="1"/>
        <v>162784.9</v>
      </c>
      <c r="Q30">
        <v>670615</v>
      </c>
      <c r="R30" t="s">
        <v>33</v>
      </c>
      <c r="S30" s="7">
        <f t="shared" si="2"/>
        <v>14</v>
      </c>
      <c r="T30" s="7">
        <v>20251231</v>
      </c>
    </row>
    <row r="31" spans="1:20" ht="15.6">
      <c r="A31" t="s">
        <v>176</v>
      </c>
      <c r="B31" t="s">
        <v>18</v>
      </c>
      <c r="C31" s="15">
        <v>2411.0100000000002</v>
      </c>
      <c r="D31">
        <v>20241014</v>
      </c>
      <c r="E31" t="s">
        <v>1</v>
      </c>
      <c r="F31">
        <v>20241014</v>
      </c>
      <c r="G31">
        <v>60</v>
      </c>
      <c r="H31" t="s">
        <v>2</v>
      </c>
      <c r="I31">
        <v>670615</v>
      </c>
      <c r="J31">
        <v>0</v>
      </c>
      <c r="K31">
        <v>1</v>
      </c>
      <c r="L31">
        <f t="shared" si="0"/>
        <v>46</v>
      </c>
      <c r="M31">
        <f t="shared" si="3"/>
        <v>45</v>
      </c>
      <c r="N31">
        <v>104</v>
      </c>
      <c r="O31">
        <v>162784.9014</v>
      </c>
      <c r="P31">
        <f t="shared" si="1"/>
        <v>162784.9</v>
      </c>
      <c r="Q31">
        <v>670615</v>
      </c>
      <c r="R31" t="s">
        <v>34</v>
      </c>
      <c r="S31" s="7">
        <f t="shared" si="2"/>
        <v>14</v>
      </c>
      <c r="T31" s="7">
        <v>20251231</v>
      </c>
    </row>
    <row r="32" spans="1:20" ht="15.6">
      <c r="A32" t="s">
        <v>177</v>
      </c>
      <c r="B32" t="s">
        <v>18</v>
      </c>
      <c r="C32" s="15">
        <v>2411.0100000000002</v>
      </c>
      <c r="D32">
        <v>20241014</v>
      </c>
      <c r="E32" t="s">
        <v>1</v>
      </c>
      <c r="F32">
        <v>20241014</v>
      </c>
      <c r="G32">
        <v>60</v>
      </c>
      <c r="H32" t="s">
        <v>2</v>
      </c>
      <c r="I32">
        <v>670615</v>
      </c>
      <c r="J32">
        <v>0</v>
      </c>
      <c r="K32">
        <v>1</v>
      </c>
      <c r="L32">
        <f t="shared" si="0"/>
        <v>46</v>
      </c>
      <c r="M32">
        <f t="shared" si="3"/>
        <v>45</v>
      </c>
      <c r="N32">
        <v>104</v>
      </c>
      <c r="O32">
        <v>162784.9014</v>
      </c>
      <c r="P32">
        <f t="shared" si="1"/>
        <v>162784.9</v>
      </c>
      <c r="Q32">
        <v>670615</v>
      </c>
      <c r="R32" t="s">
        <v>35</v>
      </c>
      <c r="S32" s="7">
        <f t="shared" si="2"/>
        <v>14</v>
      </c>
      <c r="T32" s="7">
        <v>20251231</v>
      </c>
    </row>
    <row r="33" spans="1:20" ht="15.6">
      <c r="A33" t="s">
        <v>178</v>
      </c>
      <c r="B33" t="s">
        <v>18</v>
      </c>
      <c r="C33" s="15">
        <v>2411.0100000000002</v>
      </c>
      <c r="D33">
        <v>20241014</v>
      </c>
      <c r="E33" t="s">
        <v>1</v>
      </c>
      <c r="F33">
        <v>20241014</v>
      </c>
      <c r="G33">
        <v>60</v>
      </c>
      <c r="H33" t="s">
        <v>2</v>
      </c>
      <c r="I33">
        <v>670615</v>
      </c>
      <c r="J33">
        <v>0</v>
      </c>
      <c r="K33">
        <v>1</v>
      </c>
      <c r="L33">
        <f t="shared" si="0"/>
        <v>46</v>
      </c>
      <c r="M33">
        <f t="shared" si="3"/>
        <v>45</v>
      </c>
      <c r="N33">
        <v>104</v>
      </c>
      <c r="O33">
        <v>162784.9014</v>
      </c>
      <c r="P33">
        <f t="shared" si="1"/>
        <v>162784.9</v>
      </c>
      <c r="Q33">
        <v>670615</v>
      </c>
      <c r="R33" t="s">
        <v>36</v>
      </c>
      <c r="S33" s="7">
        <f t="shared" si="2"/>
        <v>14</v>
      </c>
      <c r="T33" s="7">
        <v>20251231</v>
      </c>
    </row>
    <row r="34" spans="1:20" ht="15.6">
      <c r="A34" t="s">
        <v>179</v>
      </c>
      <c r="B34" t="s">
        <v>18</v>
      </c>
      <c r="C34" s="15">
        <v>2411.0100000000002</v>
      </c>
      <c r="D34">
        <v>20241014</v>
      </c>
      <c r="E34" t="s">
        <v>1</v>
      </c>
      <c r="F34">
        <v>20241014</v>
      </c>
      <c r="G34">
        <v>60</v>
      </c>
      <c r="H34" t="s">
        <v>2</v>
      </c>
      <c r="I34">
        <v>670615</v>
      </c>
      <c r="J34">
        <v>0</v>
      </c>
      <c r="K34">
        <v>1</v>
      </c>
      <c r="L34">
        <f t="shared" ref="L34:L61" si="4">G34-S34</f>
        <v>46</v>
      </c>
      <c r="M34">
        <f t="shared" si="3"/>
        <v>45</v>
      </c>
      <c r="N34">
        <v>104</v>
      </c>
      <c r="O34">
        <v>162784.9014</v>
      </c>
      <c r="P34">
        <f t="shared" si="1"/>
        <v>162784.9</v>
      </c>
      <c r="Q34">
        <v>670615</v>
      </c>
      <c r="R34" t="s">
        <v>37</v>
      </c>
      <c r="S34" s="7">
        <f t="shared" ref="S34:S65" si="5">DATEDIF(DATE(LEFT(F34,4),MID(F34,5,2),MID(F34,7,2)), DATE(LEFT(T34,4),MID(T34,5,2),MID(T34,7,2)),"m")</f>
        <v>14</v>
      </c>
      <c r="T34" s="7">
        <v>20251231</v>
      </c>
    </row>
    <row r="35" spans="1:20" ht="15.6">
      <c r="A35" t="s">
        <v>180</v>
      </c>
      <c r="B35" t="s">
        <v>18</v>
      </c>
      <c r="C35" s="15">
        <v>2411.0100000000002</v>
      </c>
      <c r="D35">
        <v>20241014</v>
      </c>
      <c r="E35" t="s">
        <v>1</v>
      </c>
      <c r="F35">
        <v>20241014</v>
      </c>
      <c r="G35">
        <v>60</v>
      </c>
      <c r="H35" t="s">
        <v>2</v>
      </c>
      <c r="I35">
        <v>670615</v>
      </c>
      <c r="J35">
        <v>0</v>
      </c>
      <c r="K35">
        <v>1</v>
      </c>
      <c r="L35">
        <f t="shared" si="4"/>
        <v>46</v>
      </c>
      <c r="M35">
        <f t="shared" si="3"/>
        <v>45</v>
      </c>
      <c r="N35">
        <v>104</v>
      </c>
      <c r="O35">
        <v>162784.9014</v>
      </c>
      <c r="P35">
        <f t="shared" si="1"/>
        <v>162784.9</v>
      </c>
      <c r="Q35">
        <v>670615</v>
      </c>
      <c r="R35" t="s">
        <v>38</v>
      </c>
      <c r="S35" s="7">
        <f t="shared" si="5"/>
        <v>14</v>
      </c>
      <c r="T35" s="7">
        <v>20251231</v>
      </c>
    </row>
    <row r="36" spans="1:20" ht="15.6">
      <c r="A36" t="s">
        <v>181</v>
      </c>
      <c r="B36" t="s">
        <v>18</v>
      </c>
      <c r="C36" s="15">
        <v>2411.0100000000002</v>
      </c>
      <c r="D36">
        <v>20241014</v>
      </c>
      <c r="E36" t="s">
        <v>1</v>
      </c>
      <c r="F36">
        <v>20241014</v>
      </c>
      <c r="G36">
        <v>60</v>
      </c>
      <c r="H36" t="s">
        <v>2</v>
      </c>
      <c r="I36">
        <v>670615</v>
      </c>
      <c r="J36">
        <v>0</v>
      </c>
      <c r="K36">
        <v>1</v>
      </c>
      <c r="L36">
        <f t="shared" si="4"/>
        <v>46</v>
      </c>
      <c r="M36">
        <f t="shared" si="3"/>
        <v>45</v>
      </c>
      <c r="N36">
        <v>104</v>
      </c>
      <c r="O36">
        <v>162784.9014</v>
      </c>
      <c r="P36">
        <f t="shared" si="1"/>
        <v>162784.9</v>
      </c>
      <c r="Q36">
        <v>670615</v>
      </c>
      <c r="R36" t="s">
        <v>39</v>
      </c>
      <c r="S36" s="7">
        <f t="shared" si="5"/>
        <v>14</v>
      </c>
      <c r="T36" s="7">
        <v>20251231</v>
      </c>
    </row>
    <row r="37" spans="1:20" ht="15.6">
      <c r="A37" t="s">
        <v>182</v>
      </c>
      <c r="B37" t="s">
        <v>18</v>
      </c>
      <c r="C37" s="15">
        <v>2411.0100000000002</v>
      </c>
      <c r="D37">
        <v>20241014</v>
      </c>
      <c r="E37" t="s">
        <v>1</v>
      </c>
      <c r="F37">
        <v>20241014</v>
      </c>
      <c r="G37">
        <v>60</v>
      </c>
      <c r="H37" t="s">
        <v>2</v>
      </c>
      <c r="I37">
        <v>670615</v>
      </c>
      <c r="J37">
        <v>0</v>
      </c>
      <c r="K37">
        <v>1</v>
      </c>
      <c r="L37">
        <f t="shared" si="4"/>
        <v>46</v>
      </c>
      <c r="M37">
        <f t="shared" si="3"/>
        <v>45</v>
      </c>
      <c r="N37">
        <v>104</v>
      </c>
      <c r="O37">
        <v>162784.9014</v>
      </c>
      <c r="P37">
        <f t="shared" si="1"/>
        <v>162784.9</v>
      </c>
      <c r="Q37">
        <v>670615</v>
      </c>
      <c r="R37" t="s">
        <v>40</v>
      </c>
      <c r="S37" s="7">
        <f t="shared" si="5"/>
        <v>14</v>
      </c>
      <c r="T37" s="7">
        <v>20251231</v>
      </c>
    </row>
    <row r="38" spans="1:20" ht="15.6">
      <c r="A38" t="s">
        <v>183</v>
      </c>
      <c r="B38" t="s">
        <v>18</v>
      </c>
      <c r="C38" s="15">
        <v>2411.0100000000002</v>
      </c>
      <c r="D38">
        <v>20241014</v>
      </c>
      <c r="E38" t="s">
        <v>1</v>
      </c>
      <c r="F38">
        <v>20241014</v>
      </c>
      <c r="G38">
        <v>60</v>
      </c>
      <c r="H38" t="s">
        <v>2</v>
      </c>
      <c r="I38">
        <v>670615</v>
      </c>
      <c r="J38">
        <v>0</v>
      </c>
      <c r="K38">
        <v>1</v>
      </c>
      <c r="L38">
        <f t="shared" si="4"/>
        <v>46</v>
      </c>
      <c r="M38">
        <f t="shared" si="3"/>
        <v>45</v>
      </c>
      <c r="N38">
        <v>104</v>
      </c>
      <c r="O38">
        <v>162784.9014</v>
      </c>
      <c r="P38">
        <f t="shared" si="1"/>
        <v>162784.9</v>
      </c>
      <c r="Q38">
        <v>670615</v>
      </c>
      <c r="R38" t="s">
        <v>41</v>
      </c>
      <c r="S38" s="7">
        <f t="shared" si="5"/>
        <v>14</v>
      </c>
      <c r="T38" s="7">
        <v>20251231</v>
      </c>
    </row>
    <row r="39" spans="1:20" ht="15.6">
      <c r="A39" t="s">
        <v>184</v>
      </c>
      <c r="B39" t="s">
        <v>18</v>
      </c>
      <c r="C39" s="15">
        <v>2411.0100000000002</v>
      </c>
      <c r="D39">
        <v>20241014</v>
      </c>
      <c r="E39" t="s">
        <v>1</v>
      </c>
      <c r="F39">
        <v>20241014</v>
      </c>
      <c r="G39">
        <v>60</v>
      </c>
      <c r="H39" t="s">
        <v>2</v>
      </c>
      <c r="I39">
        <v>670615</v>
      </c>
      <c r="J39">
        <v>0</v>
      </c>
      <c r="K39">
        <v>1</v>
      </c>
      <c r="L39">
        <f t="shared" si="4"/>
        <v>46</v>
      </c>
      <c r="M39">
        <f t="shared" si="3"/>
        <v>45</v>
      </c>
      <c r="N39">
        <v>104</v>
      </c>
      <c r="O39">
        <v>162784.9014</v>
      </c>
      <c r="P39">
        <f t="shared" si="1"/>
        <v>162784.9</v>
      </c>
      <c r="Q39">
        <v>670615</v>
      </c>
      <c r="R39" t="s">
        <v>42</v>
      </c>
      <c r="S39" s="7">
        <f t="shared" si="5"/>
        <v>14</v>
      </c>
      <c r="T39" s="7">
        <v>20251231</v>
      </c>
    </row>
    <row r="40" spans="1:20" ht="15.6">
      <c r="A40" t="s">
        <v>185</v>
      </c>
      <c r="B40" t="s">
        <v>18</v>
      </c>
      <c r="C40" s="15">
        <v>2411.0100000000002</v>
      </c>
      <c r="D40">
        <v>20241014</v>
      </c>
      <c r="E40" t="s">
        <v>1</v>
      </c>
      <c r="F40">
        <v>20241014</v>
      </c>
      <c r="G40">
        <v>60</v>
      </c>
      <c r="H40" t="s">
        <v>2</v>
      </c>
      <c r="I40">
        <v>670615</v>
      </c>
      <c r="J40">
        <v>0</v>
      </c>
      <c r="K40">
        <v>1</v>
      </c>
      <c r="L40">
        <f t="shared" si="4"/>
        <v>46</v>
      </c>
      <c r="M40">
        <f t="shared" si="3"/>
        <v>45</v>
      </c>
      <c r="N40">
        <v>104</v>
      </c>
      <c r="O40">
        <v>162784.9014</v>
      </c>
      <c r="P40">
        <f t="shared" si="1"/>
        <v>162784.9</v>
      </c>
      <c r="Q40">
        <v>670615</v>
      </c>
      <c r="R40" t="s">
        <v>43</v>
      </c>
      <c r="S40" s="7">
        <f t="shared" si="5"/>
        <v>14</v>
      </c>
      <c r="T40" s="7">
        <v>20251231</v>
      </c>
    </row>
    <row r="41" spans="1:20" ht="15.6">
      <c r="A41" t="s">
        <v>186</v>
      </c>
      <c r="B41" t="s">
        <v>44</v>
      </c>
      <c r="C41" s="15">
        <v>2411.0100000000002</v>
      </c>
      <c r="D41">
        <v>20251027</v>
      </c>
      <c r="E41" t="s">
        <v>1</v>
      </c>
      <c r="F41">
        <v>20251027</v>
      </c>
      <c r="G41">
        <v>60</v>
      </c>
      <c r="H41" t="s">
        <v>2</v>
      </c>
      <c r="I41">
        <v>20091060</v>
      </c>
      <c r="J41">
        <v>0</v>
      </c>
      <c r="K41">
        <v>1</v>
      </c>
      <c r="L41">
        <f t="shared" si="4"/>
        <v>58</v>
      </c>
      <c r="M41">
        <f t="shared" si="3"/>
        <v>57</v>
      </c>
      <c r="N41">
        <v>104</v>
      </c>
      <c r="O41">
        <v>715572</v>
      </c>
      <c r="P41">
        <f t="shared" si="1"/>
        <v>715572</v>
      </c>
      <c r="Q41">
        <v>20091060</v>
      </c>
      <c r="R41" t="s">
        <v>45</v>
      </c>
      <c r="S41" s="7">
        <f t="shared" si="5"/>
        <v>2</v>
      </c>
      <c r="T41" s="7">
        <v>20251231</v>
      </c>
    </row>
    <row r="42" spans="1:20" ht="15.6">
      <c r="A42" t="s">
        <v>187</v>
      </c>
      <c r="B42" t="s">
        <v>46</v>
      </c>
      <c r="C42" s="15">
        <v>2411.0100000000002</v>
      </c>
      <c r="D42">
        <v>20240506</v>
      </c>
      <c r="E42" t="s">
        <v>1</v>
      </c>
      <c r="F42">
        <v>20240506</v>
      </c>
      <c r="G42">
        <v>60</v>
      </c>
      <c r="H42" t="s">
        <v>2</v>
      </c>
      <c r="I42">
        <v>1362110</v>
      </c>
      <c r="J42">
        <v>0</v>
      </c>
      <c r="K42">
        <v>1</v>
      </c>
      <c r="L42">
        <f t="shared" si="4"/>
        <v>41</v>
      </c>
      <c r="M42">
        <f t="shared" si="3"/>
        <v>40</v>
      </c>
      <c r="N42">
        <v>104</v>
      </c>
      <c r="O42">
        <v>450802.43290000001</v>
      </c>
      <c r="P42">
        <f t="shared" si="1"/>
        <v>450802.43</v>
      </c>
      <c r="Q42">
        <v>1362110</v>
      </c>
      <c r="R42" t="s">
        <v>47</v>
      </c>
      <c r="S42" s="7">
        <f t="shared" si="5"/>
        <v>19</v>
      </c>
      <c r="T42" s="7">
        <v>20251231</v>
      </c>
    </row>
    <row r="43" spans="1:20" ht="15.6">
      <c r="A43" t="s">
        <v>188</v>
      </c>
      <c r="B43" t="s">
        <v>46</v>
      </c>
      <c r="C43" s="15">
        <v>2411.0100000000002</v>
      </c>
      <c r="D43">
        <v>20240506</v>
      </c>
      <c r="E43" t="s">
        <v>1</v>
      </c>
      <c r="F43">
        <v>20240506</v>
      </c>
      <c r="G43">
        <v>60</v>
      </c>
      <c r="H43" t="s">
        <v>2</v>
      </c>
      <c r="I43">
        <v>1362110</v>
      </c>
      <c r="J43">
        <v>0</v>
      </c>
      <c r="K43">
        <v>1</v>
      </c>
      <c r="L43">
        <f t="shared" si="4"/>
        <v>41</v>
      </c>
      <c r="M43">
        <f t="shared" si="3"/>
        <v>40</v>
      </c>
      <c r="N43">
        <v>104</v>
      </c>
      <c r="O43">
        <v>450802.43290000001</v>
      </c>
      <c r="P43">
        <f t="shared" si="1"/>
        <v>450802.43</v>
      </c>
      <c r="Q43">
        <v>1362110</v>
      </c>
      <c r="R43" t="s">
        <v>48</v>
      </c>
      <c r="S43" s="7">
        <f t="shared" si="5"/>
        <v>19</v>
      </c>
      <c r="T43" s="7">
        <v>20251231</v>
      </c>
    </row>
    <row r="44" spans="1:20" ht="15.6">
      <c r="A44" t="s">
        <v>189</v>
      </c>
      <c r="B44" t="s">
        <v>49</v>
      </c>
      <c r="C44" s="15">
        <v>2411.0100000000002</v>
      </c>
      <c r="D44">
        <v>20240507</v>
      </c>
      <c r="E44" t="s">
        <v>1</v>
      </c>
      <c r="F44">
        <v>20240507</v>
      </c>
      <c r="G44">
        <v>60</v>
      </c>
      <c r="H44" t="s">
        <v>2</v>
      </c>
      <c r="I44">
        <v>3656725</v>
      </c>
      <c r="J44">
        <v>0</v>
      </c>
      <c r="K44">
        <v>1</v>
      </c>
      <c r="L44">
        <f t="shared" si="4"/>
        <v>41</v>
      </c>
      <c r="M44">
        <f t="shared" si="3"/>
        <v>40</v>
      </c>
      <c r="N44">
        <v>104</v>
      </c>
      <c r="O44">
        <v>1208222.014</v>
      </c>
      <c r="P44">
        <f t="shared" si="1"/>
        <v>1208222.01</v>
      </c>
      <c r="Q44">
        <v>3656725</v>
      </c>
      <c r="R44" t="s">
        <v>50</v>
      </c>
      <c r="S44" s="7">
        <f t="shared" si="5"/>
        <v>19</v>
      </c>
      <c r="T44" s="7">
        <v>20251231</v>
      </c>
    </row>
    <row r="45" spans="1:20" ht="15.6">
      <c r="A45" t="s">
        <v>190</v>
      </c>
      <c r="B45" t="s">
        <v>49</v>
      </c>
      <c r="C45" s="15">
        <v>2411.0100000000002</v>
      </c>
      <c r="D45">
        <v>20240507</v>
      </c>
      <c r="E45" t="s">
        <v>1</v>
      </c>
      <c r="F45">
        <v>20240507</v>
      </c>
      <c r="G45">
        <v>60</v>
      </c>
      <c r="H45" t="s">
        <v>2</v>
      </c>
      <c r="I45">
        <v>3656725</v>
      </c>
      <c r="J45">
        <v>0</v>
      </c>
      <c r="K45">
        <v>1</v>
      </c>
      <c r="L45">
        <f t="shared" si="4"/>
        <v>41</v>
      </c>
      <c r="M45">
        <f t="shared" si="3"/>
        <v>40</v>
      </c>
      <c r="N45">
        <v>104</v>
      </c>
      <c r="O45">
        <v>1208222.014</v>
      </c>
      <c r="P45">
        <f t="shared" si="1"/>
        <v>1208222.01</v>
      </c>
      <c r="Q45">
        <v>3656725</v>
      </c>
      <c r="R45" t="s">
        <v>51</v>
      </c>
      <c r="S45" s="7">
        <f t="shared" si="5"/>
        <v>19</v>
      </c>
      <c r="T45" s="7">
        <v>20251231</v>
      </c>
    </row>
    <row r="46" spans="1:20" ht="15.6">
      <c r="A46" t="s">
        <v>191</v>
      </c>
      <c r="B46" t="s">
        <v>49</v>
      </c>
      <c r="C46" s="15">
        <v>2411.0100000000002</v>
      </c>
      <c r="D46">
        <v>20240507</v>
      </c>
      <c r="E46" t="s">
        <v>1</v>
      </c>
      <c r="F46">
        <v>20240507</v>
      </c>
      <c r="G46">
        <v>60</v>
      </c>
      <c r="H46" t="s">
        <v>2</v>
      </c>
      <c r="I46">
        <v>3656725</v>
      </c>
      <c r="J46">
        <v>0</v>
      </c>
      <c r="K46">
        <v>1</v>
      </c>
      <c r="L46">
        <f t="shared" si="4"/>
        <v>41</v>
      </c>
      <c r="M46">
        <f t="shared" si="3"/>
        <v>40</v>
      </c>
      <c r="N46">
        <v>104</v>
      </c>
      <c r="O46">
        <v>1208222.014</v>
      </c>
      <c r="P46">
        <f t="shared" si="1"/>
        <v>1208222.01</v>
      </c>
      <c r="Q46">
        <v>3656725</v>
      </c>
      <c r="R46" t="s">
        <v>52</v>
      </c>
      <c r="S46" s="7">
        <f t="shared" si="5"/>
        <v>19</v>
      </c>
      <c r="T46" s="7">
        <v>20251231</v>
      </c>
    </row>
    <row r="47" spans="1:20" ht="15.6">
      <c r="A47" t="s">
        <v>192</v>
      </c>
      <c r="B47" t="s">
        <v>49</v>
      </c>
      <c r="C47" s="15">
        <v>2411.0100000000002</v>
      </c>
      <c r="D47">
        <v>20240507</v>
      </c>
      <c r="E47" t="s">
        <v>1</v>
      </c>
      <c r="F47">
        <v>20240507</v>
      </c>
      <c r="G47">
        <v>60</v>
      </c>
      <c r="H47" t="s">
        <v>2</v>
      </c>
      <c r="I47">
        <v>3656725</v>
      </c>
      <c r="J47">
        <v>0</v>
      </c>
      <c r="K47">
        <v>1</v>
      </c>
      <c r="L47">
        <f t="shared" si="4"/>
        <v>41</v>
      </c>
      <c r="M47">
        <f t="shared" si="3"/>
        <v>40</v>
      </c>
      <c r="N47">
        <v>104</v>
      </c>
      <c r="O47">
        <v>1208222.014</v>
      </c>
      <c r="P47">
        <f t="shared" si="1"/>
        <v>1208222.01</v>
      </c>
      <c r="Q47">
        <v>3656725</v>
      </c>
      <c r="R47" t="s">
        <v>53</v>
      </c>
      <c r="S47" s="7">
        <f t="shared" si="5"/>
        <v>19</v>
      </c>
      <c r="T47" s="7">
        <v>20251231</v>
      </c>
    </row>
    <row r="48" spans="1:20" ht="15.6">
      <c r="A48" t="s">
        <v>193</v>
      </c>
      <c r="B48" t="s">
        <v>54</v>
      </c>
      <c r="C48" s="15">
        <v>2411.0100000000002</v>
      </c>
      <c r="D48">
        <v>20240506</v>
      </c>
      <c r="E48" t="s">
        <v>1</v>
      </c>
      <c r="F48">
        <v>20240506</v>
      </c>
      <c r="G48">
        <v>60</v>
      </c>
      <c r="H48" t="s">
        <v>2</v>
      </c>
      <c r="I48">
        <v>3154360</v>
      </c>
      <c r="J48">
        <v>0</v>
      </c>
      <c r="K48">
        <v>1</v>
      </c>
      <c r="L48">
        <f t="shared" si="4"/>
        <v>41</v>
      </c>
      <c r="M48">
        <f t="shared" si="3"/>
        <v>40</v>
      </c>
      <c r="N48">
        <v>104</v>
      </c>
      <c r="O48">
        <v>1043963.529</v>
      </c>
      <c r="P48">
        <f t="shared" si="1"/>
        <v>1043963.53</v>
      </c>
      <c r="Q48">
        <v>3154360</v>
      </c>
      <c r="R48" t="s">
        <v>55</v>
      </c>
      <c r="S48" s="7">
        <f t="shared" si="5"/>
        <v>19</v>
      </c>
      <c r="T48" s="7">
        <v>20251231</v>
      </c>
    </row>
    <row r="49" spans="1:20" ht="15.6">
      <c r="A49" t="s">
        <v>194</v>
      </c>
      <c r="B49" t="s">
        <v>56</v>
      </c>
      <c r="C49" s="15">
        <v>2411.0100000000002</v>
      </c>
      <c r="D49">
        <v>20240506</v>
      </c>
      <c r="E49" t="s">
        <v>1</v>
      </c>
      <c r="F49">
        <v>20240506</v>
      </c>
      <c r="G49">
        <v>60</v>
      </c>
      <c r="H49" t="s">
        <v>2</v>
      </c>
      <c r="I49">
        <v>3835415</v>
      </c>
      <c r="J49">
        <v>0</v>
      </c>
      <c r="K49">
        <v>1</v>
      </c>
      <c r="L49">
        <f t="shared" si="4"/>
        <v>41</v>
      </c>
      <c r="M49">
        <f t="shared" si="3"/>
        <v>40</v>
      </c>
      <c r="N49">
        <v>104</v>
      </c>
      <c r="O49">
        <v>1269364.7450000001</v>
      </c>
      <c r="P49">
        <f t="shared" si="1"/>
        <v>1269364.75</v>
      </c>
      <c r="Q49">
        <v>3835415</v>
      </c>
      <c r="R49" t="s">
        <v>57</v>
      </c>
      <c r="S49" s="7">
        <f t="shared" si="5"/>
        <v>19</v>
      </c>
      <c r="T49" s="7">
        <v>20251231</v>
      </c>
    </row>
    <row r="50" spans="1:20" ht="15.6">
      <c r="A50" t="s">
        <v>195</v>
      </c>
      <c r="B50" t="s">
        <v>58</v>
      </c>
      <c r="C50" s="15">
        <v>2411.0100000000002</v>
      </c>
      <c r="D50">
        <v>20240506</v>
      </c>
      <c r="E50" t="s">
        <v>1</v>
      </c>
      <c r="F50">
        <v>20240506</v>
      </c>
      <c r="G50">
        <v>60</v>
      </c>
      <c r="H50" t="s">
        <v>2</v>
      </c>
      <c r="I50">
        <v>3835415</v>
      </c>
      <c r="J50">
        <v>0</v>
      </c>
      <c r="K50">
        <v>1</v>
      </c>
      <c r="L50">
        <f t="shared" si="4"/>
        <v>41</v>
      </c>
      <c r="M50">
        <f t="shared" si="3"/>
        <v>40</v>
      </c>
      <c r="N50">
        <v>104</v>
      </c>
      <c r="O50">
        <v>1269364.7450000001</v>
      </c>
      <c r="P50">
        <f t="shared" si="1"/>
        <v>1269364.75</v>
      </c>
      <c r="Q50">
        <v>3835415</v>
      </c>
      <c r="R50" t="s">
        <v>59</v>
      </c>
      <c r="S50" s="7">
        <f t="shared" si="5"/>
        <v>19</v>
      </c>
      <c r="T50" s="7">
        <v>20251231</v>
      </c>
    </row>
    <row r="51" spans="1:20" ht="15.6">
      <c r="A51" t="s">
        <v>196</v>
      </c>
      <c r="B51" t="s">
        <v>60</v>
      </c>
      <c r="C51" s="15">
        <v>2411.0100000000002</v>
      </c>
      <c r="D51">
        <v>20231010</v>
      </c>
      <c r="E51" t="s">
        <v>1</v>
      </c>
      <c r="F51">
        <v>20231010</v>
      </c>
      <c r="G51">
        <v>60</v>
      </c>
      <c r="H51" t="s">
        <v>2</v>
      </c>
      <c r="I51">
        <v>10243884.9</v>
      </c>
      <c r="J51">
        <v>0</v>
      </c>
      <c r="K51">
        <v>1</v>
      </c>
      <c r="L51">
        <f t="shared" si="4"/>
        <v>34</v>
      </c>
      <c r="M51">
        <f t="shared" si="3"/>
        <v>33</v>
      </c>
      <c r="N51">
        <v>104</v>
      </c>
      <c r="O51">
        <v>4563440.2319999998</v>
      </c>
      <c r="P51">
        <f t="shared" si="1"/>
        <v>4563440.2300000004</v>
      </c>
      <c r="Q51">
        <v>10243884.9</v>
      </c>
      <c r="S51" s="7">
        <f t="shared" si="5"/>
        <v>26</v>
      </c>
      <c r="T51" s="7">
        <v>20251231</v>
      </c>
    </row>
    <row r="52" spans="1:20" ht="15.6">
      <c r="A52" t="s">
        <v>197</v>
      </c>
      <c r="B52" t="s">
        <v>61</v>
      </c>
      <c r="C52" s="15">
        <v>2411.0100000000002</v>
      </c>
      <c r="D52">
        <v>20231221</v>
      </c>
      <c r="E52" t="s">
        <v>1</v>
      </c>
      <c r="F52">
        <v>20231221</v>
      </c>
      <c r="G52">
        <v>60</v>
      </c>
      <c r="H52" t="s">
        <v>2</v>
      </c>
      <c r="I52">
        <v>6580288</v>
      </c>
      <c r="J52">
        <v>0</v>
      </c>
      <c r="K52">
        <v>1</v>
      </c>
      <c r="L52">
        <f t="shared" si="4"/>
        <v>36</v>
      </c>
      <c r="M52">
        <f t="shared" si="3"/>
        <v>35</v>
      </c>
      <c r="N52">
        <v>104</v>
      </c>
      <c r="O52">
        <v>2671777.21</v>
      </c>
      <c r="P52">
        <f t="shared" si="1"/>
        <v>2671777.21</v>
      </c>
      <c r="Q52">
        <v>6580288</v>
      </c>
      <c r="S52" s="7">
        <f t="shared" si="5"/>
        <v>24</v>
      </c>
      <c r="T52" s="7">
        <v>20251231</v>
      </c>
    </row>
    <row r="53" spans="1:20" ht="15.6">
      <c r="A53" t="s">
        <v>198</v>
      </c>
      <c r="B53" t="s">
        <v>62</v>
      </c>
      <c r="C53" s="15">
        <v>2411.0100000000002</v>
      </c>
      <c r="D53">
        <v>20231110</v>
      </c>
      <c r="E53" t="s">
        <v>1</v>
      </c>
      <c r="F53">
        <v>20231110</v>
      </c>
      <c r="G53">
        <v>60</v>
      </c>
      <c r="H53" t="s">
        <v>2</v>
      </c>
      <c r="I53">
        <v>3294480</v>
      </c>
      <c r="J53">
        <v>0</v>
      </c>
      <c r="K53">
        <v>1</v>
      </c>
      <c r="L53">
        <f t="shared" si="4"/>
        <v>35</v>
      </c>
      <c r="M53">
        <f t="shared" si="3"/>
        <v>34</v>
      </c>
      <c r="N53">
        <v>104</v>
      </c>
      <c r="O53">
        <v>1411662.115</v>
      </c>
      <c r="P53">
        <f t="shared" si="1"/>
        <v>1411662.12</v>
      </c>
      <c r="Q53">
        <v>3294480</v>
      </c>
      <c r="S53" s="7">
        <f t="shared" si="5"/>
        <v>25</v>
      </c>
      <c r="T53" s="7">
        <v>20251231</v>
      </c>
    </row>
    <row r="54" spans="1:20" ht="15.6">
      <c r="A54" t="s">
        <v>199</v>
      </c>
      <c r="B54" t="s">
        <v>63</v>
      </c>
      <c r="C54" s="15">
        <v>2411.0100000000002</v>
      </c>
      <c r="D54">
        <v>20240229</v>
      </c>
      <c r="E54" t="s">
        <v>1</v>
      </c>
      <c r="F54">
        <v>20240229</v>
      </c>
      <c r="G54">
        <v>60</v>
      </c>
      <c r="H54" t="s">
        <v>2</v>
      </c>
      <c r="I54">
        <v>4066000</v>
      </c>
      <c r="J54">
        <v>0</v>
      </c>
      <c r="K54">
        <v>1</v>
      </c>
      <c r="L54">
        <f t="shared" si="4"/>
        <v>38</v>
      </c>
      <c r="M54">
        <f t="shared" si="3"/>
        <v>37</v>
      </c>
      <c r="N54">
        <v>104</v>
      </c>
      <c r="O54">
        <v>1494951.233</v>
      </c>
      <c r="P54">
        <f t="shared" si="1"/>
        <v>1494951.23</v>
      </c>
      <c r="Q54">
        <v>4066000</v>
      </c>
      <c r="R54" t="s">
        <v>64</v>
      </c>
      <c r="S54" s="7">
        <f t="shared" si="5"/>
        <v>22</v>
      </c>
      <c r="T54" s="7">
        <v>20251231</v>
      </c>
    </row>
    <row r="55" spans="1:20" ht="15.6">
      <c r="A55" t="s">
        <v>200</v>
      </c>
      <c r="B55" t="s">
        <v>63</v>
      </c>
      <c r="C55" s="15">
        <v>2411.0100000000002</v>
      </c>
      <c r="D55">
        <v>20240229</v>
      </c>
      <c r="E55" t="s">
        <v>1</v>
      </c>
      <c r="F55">
        <v>20240229</v>
      </c>
      <c r="G55">
        <v>60</v>
      </c>
      <c r="H55" t="s">
        <v>2</v>
      </c>
      <c r="I55">
        <v>4066000</v>
      </c>
      <c r="J55">
        <v>0</v>
      </c>
      <c r="K55">
        <v>1</v>
      </c>
      <c r="L55">
        <f t="shared" si="4"/>
        <v>38</v>
      </c>
      <c r="M55">
        <f t="shared" si="3"/>
        <v>37</v>
      </c>
      <c r="N55">
        <v>104</v>
      </c>
      <c r="O55">
        <v>1494951.233</v>
      </c>
      <c r="P55">
        <f t="shared" si="1"/>
        <v>1494951.23</v>
      </c>
      <c r="Q55">
        <v>4066000</v>
      </c>
      <c r="R55" t="s">
        <v>65</v>
      </c>
      <c r="S55" s="7">
        <f t="shared" si="5"/>
        <v>22</v>
      </c>
      <c r="T55" s="7">
        <v>20251231</v>
      </c>
    </row>
    <row r="56" spans="1:20" ht="15.6">
      <c r="A56" t="s">
        <v>201</v>
      </c>
      <c r="B56" t="s">
        <v>63</v>
      </c>
      <c r="C56" s="15">
        <v>2411.0100000000002</v>
      </c>
      <c r="D56">
        <v>20240730</v>
      </c>
      <c r="E56" t="s">
        <v>1</v>
      </c>
      <c r="F56">
        <v>20240730</v>
      </c>
      <c r="G56">
        <v>60</v>
      </c>
      <c r="H56" t="s">
        <v>2</v>
      </c>
      <c r="I56">
        <v>4235000</v>
      </c>
      <c r="J56">
        <v>0</v>
      </c>
      <c r="K56">
        <v>1</v>
      </c>
      <c r="L56">
        <f t="shared" si="4"/>
        <v>43</v>
      </c>
      <c r="M56">
        <f t="shared" si="3"/>
        <v>42</v>
      </c>
      <c r="N56">
        <v>104</v>
      </c>
      <c r="O56">
        <v>1204364.3840000001</v>
      </c>
      <c r="P56">
        <f t="shared" si="1"/>
        <v>1204364.3799999999</v>
      </c>
      <c r="Q56">
        <v>4235000</v>
      </c>
      <c r="R56" t="s">
        <v>66</v>
      </c>
      <c r="S56" s="7">
        <f t="shared" si="5"/>
        <v>17</v>
      </c>
      <c r="T56" s="7">
        <v>20251231</v>
      </c>
    </row>
    <row r="57" spans="1:20" ht="15.6">
      <c r="A57" t="s">
        <v>202</v>
      </c>
      <c r="B57" t="s">
        <v>67</v>
      </c>
      <c r="C57" s="15">
        <v>2411.0100000000002</v>
      </c>
      <c r="D57">
        <v>20210407</v>
      </c>
      <c r="E57" t="s">
        <v>1</v>
      </c>
      <c r="F57">
        <v>20210407</v>
      </c>
      <c r="G57">
        <v>60</v>
      </c>
      <c r="H57" t="s">
        <v>2</v>
      </c>
      <c r="I57">
        <v>450000</v>
      </c>
      <c r="J57">
        <v>0</v>
      </c>
      <c r="K57">
        <v>1</v>
      </c>
      <c r="L57">
        <f t="shared" si="4"/>
        <v>4</v>
      </c>
      <c r="M57">
        <f t="shared" si="3"/>
        <v>3</v>
      </c>
      <c r="N57">
        <v>104</v>
      </c>
      <c r="O57">
        <v>426328.7671</v>
      </c>
      <c r="P57">
        <f t="shared" si="1"/>
        <v>426328.77</v>
      </c>
      <c r="Q57">
        <v>450000</v>
      </c>
      <c r="S57" s="7">
        <f t="shared" si="5"/>
        <v>56</v>
      </c>
      <c r="T57" s="7">
        <v>20251231</v>
      </c>
    </row>
    <row r="58" spans="1:20" ht="15.6">
      <c r="A58" t="s">
        <v>203</v>
      </c>
      <c r="B58" t="s">
        <v>68</v>
      </c>
      <c r="C58" s="15">
        <v>2411.0100000000002</v>
      </c>
      <c r="D58">
        <v>20210713</v>
      </c>
      <c r="E58" t="s">
        <v>1</v>
      </c>
      <c r="F58">
        <v>20210713</v>
      </c>
      <c r="G58">
        <v>60</v>
      </c>
      <c r="H58" t="s">
        <v>2</v>
      </c>
      <c r="I58">
        <v>403788</v>
      </c>
      <c r="J58">
        <v>0</v>
      </c>
      <c r="K58">
        <v>1</v>
      </c>
      <c r="L58">
        <f t="shared" si="4"/>
        <v>7</v>
      </c>
      <c r="M58">
        <f t="shared" si="3"/>
        <v>6</v>
      </c>
      <c r="N58">
        <v>104</v>
      </c>
      <c r="O58">
        <v>361086.03619999997</v>
      </c>
      <c r="P58">
        <f t="shared" si="1"/>
        <v>361086.04</v>
      </c>
      <c r="Q58">
        <v>403788</v>
      </c>
      <c r="S58" s="7">
        <f t="shared" si="5"/>
        <v>53</v>
      </c>
      <c r="T58" s="7">
        <v>20251231</v>
      </c>
    </row>
    <row r="59" spans="1:20" ht="15.6">
      <c r="A59" t="s">
        <v>204</v>
      </c>
      <c r="B59" t="s">
        <v>69</v>
      </c>
      <c r="C59" s="15">
        <v>2411.0100000000002</v>
      </c>
      <c r="D59">
        <v>20210128</v>
      </c>
      <c r="E59" t="s">
        <v>1</v>
      </c>
      <c r="F59">
        <v>20210128</v>
      </c>
      <c r="G59">
        <v>60</v>
      </c>
      <c r="H59" t="s">
        <v>2</v>
      </c>
      <c r="I59">
        <v>140000</v>
      </c>
      <c r="J59">
        <v>0</v>
      </c>
      <c r="K59">
        <v>1</v>
      </c>
      <c r="L59">
        <f t="shared" si="4"/>
        <v>1</v>
      </c>
      <c r="M59">
        <v>0</v>
      </c>
      <c r="N59">
        <v>104</v>
      </c>
      <c r="O59">
        <f t="shared" ref="O59:O60" si="6">I59</f>
        <v>140000</v>
      </c>
      <c r="P59">
        <f t="shared" si="1"/>
        <v>140000</v>
      </c>
      <c r="Q59">
        <v>140000</v>
      </c>
      <c r="S59" s="7">
        <f t="shared" si="5"/>
        <v>59</v>
      </c>
      <c r="T59" s="7">
        <v>20251231</v>
      </c>
    </row>
    <row r="60" spans="1:20" ht="15.6">
      <c r="A60" t="s">
        <v>205</v>
      </c>
      <c r="B60" t="s">
        <v>70</v>
      </c>
      <c r="C60" s="15">
        <v>2411.0100000000002</v>
      </c>
      <c r="D60">
        <v>20210128</v>
      </c>
      <c r="E60" t="s">
        <v>1</v>
      </c>
      <c r="F60">
        <v>20210128</v>
      </c>
      <c r="G60">
        <v>60</v>
      </c>
      <c r="H60" t="s">
        <v>2</v>
      </c>
      <c r="I60">
        <v>300000</v>
      </c>
      <c r="J60">
        <v>0</v>
      </c>
      <c r="K60">
        <v>1</v>
      </c>
      <c r="L60">
        <f t="shared" si="4"/>
        <v>1</v>
      </c>
      <c r="M60">
        <v>0</v>
      </c>
      <c r="N60">
        <v>104</v>
      </c>
      <c r="O60">
        <f t="shared" si="6"/>
        <v>300000</v>
      </c>
      <c r="P60">
        <f t="shared" si="1"/>
        <v>300000</v>
      </c>
      <c r="Q60">
        <v>300000</v>
      </c>
      <c r="S60" s="7">
        <f t="shared" si="5"/>
        <v>59</v>
      </c>
      <c r="T60" s="7">
        <v>20251231</v>
      </c>
    </row>
    <row r="61" spans="1:20" ht="15.6">
      <c r="A61" t="s">
        <v>206</v>
      </c>
      <c r="B61" t="s">
        <v>71</v>
      </c>
      <c r="C61" s="15">
        <v>2411.0100000000002</v>
      </c>
      <c r="D61">
        <v>20210407</v>
      </c>
      <c r="E61" t="s">
        <v>1</v>
      </c>
      <c r="F61">
        <v>20210407</v>
      </c>
      <c r="G61">
        <v>60</v>
      </c>
      <c r="H61" t="s">
        <v>2</v>
      </c>
      <c r="I61">
        <v>700000</v>
      </c>
      <c r="J61">
        <v>0</v>
      </c>
      <c r="K61">
        <v>1</v>
      </c>
      <c r="L61">
        <f t="shared" si="4"/>
        <v>4</v>
      </c>
      <c r="M61">
        <f t="shared" si="3"/>
        <v>3</v>
      </c>
      <c r="N61">
        <v>104</v>
      </c>
      <c r="O61">
        <v>663178.08219999995</v>
      </c>
      <c r="P61">
        <f t="shared" si="1"/>
        <v>663178.07999999996</v>
      </c>
      <c r="Q61">
        <v>700000</v>
      </c>
      <c r="S61" s="7">
        <f t="shared" si="5"/>
        <v>56</v>
      </c>
      <c r="T61" s="7">
        <v>20251231</v>
      </c>
    </row>
    <row r="62" spans="1:20" ht="15.6">
      <c r="A62" t="s">
        <v>207</v>
      </c>
      <c r="B62" t="s">
        <v>72</v>
      </c>
      <c r="C62" s="15">
        <v>2411.0100000000002</v>
      </c>
      <c r="D62">
        <v>20180207</v>
      </c>
      <c r="E62" t="s">
        <v>1</v>
      </c>
      <c r="F62">
        <v>20180207</v>
      </c>
      <c r="G62">
        <v>60</v>
      </c>
      <c r="H62" t="s">
        <v>2</v>
      </c>
      <c r="I62">
        <v>27000000</v>
      </c>
      <c r="J62">
        <v>0</v>
      </c>
      <c r="K62">
        <v>1</v>
      </c>
      <c r="L62">
        <v>0</v>
      </c>
      <c r="M62">
        <v>0</v>
      </c>
      <c r="N62">
        <v>104</v>
      </c>
      <c r="O62">
        <f t="shared" ref="O62:O66" si="7">I62</f>
        <v>27000000</v>
      </c>
      <c r="P62">
        <f t="shared" si="1"/>
        <v>27000000</v>
      </c>
      <c r="Q62">
        <v>27000000</v>
      </c>
      <c r="S62" s="7">
        <f t="shared" si="5"/>
        <v>94</v>
      </c>
      <c r="T62" s="7">
        <v>20251231</v>
      </c>
    </row>
    <row r="63" spans="1:20" ht="15.6">
      <c r="A63" t="s">
        <v>208</v>
      </c>
      <c r="B63" t="s">
        <v>72</v>
      </c>
      <c r="C63" s="15">
        <v>2411.0100000000002</v>
      </c>
      <c r="D63">
        <v>20180101</v>
      </c>
      <c r="E63" t="s">
        <v>1</v>
      </c>
      <c r="F63">
        <v>20180101</v>
      </c>
      <c r="G63">
        <v>60</v>
      </c>
      <c r="H63" t="s">
        <v>2</v>
      </c>
      <c r="I63">
        <v>1492800</v>
      </c>
      <c r="J63">
        <v>0</v>
      </c>
      <c r="K63">
        <v>1</v>
      </c>
      <c r="L63">
        <v>0</v>
      </c>
      <c r="M63">
        <v>0</v>
      </c>
      <c r="N63">
        <v>104</v>
      </c>
      <c r="O63">
        <f t="shared" si="7"/>
        <v>1492800</v>
      </c>
      <c r="P63">
        <f t="shared" si="1"/>
        <v>1492800</v>
      </c>
      <c r="Q63">
        <v>1492800</v>
      </c>
      <c r="S63" s="7">
        <f t="shared" si="5"/>
        <v>95</v>
      </c>
      <c r="T63" s="7">
        <v>20251231</v>
      </c>
    </row>
    <row r="64" spans="1:20" ht="15.6">
      <c r="A64" t="s">
        <v>209</v>
      </c>
      <c r="B64" t="s">
        <v>72</v>
      </c>
      <c r="C64" s="15">
        <v>2411.0100000000002</v>
      </c>
      <c r="D64">
        <v>20180101</v>
      </c>
      <c r="E64" t="s">
        <v>1</v>
      </c>
      <c r="F64">
        <v>20180101</v>
      </c>
      <c r="G64">
        <v>60</v>
      </c>
      <c r="H64" t="s">
        <v>2</v>
      </c>
      <c r="I64">
        <v>1492800</v>
      </c>
      <c r="J64">
        <v>0</v>
      </c>
      <c r="K64">
        <v>1</v>
      </c>
      <c r="L64">
        <v>0</v>
      </c>
      <c r="M64">
        <v>0</v>
      </c>
      <c r="N64">
        <v>104</v>
      </c>
      <c r="O64">
        <f t="shared" si="7"/>
        <v>1492800</v>
      </c>
      <c r="P64">
        <f t="shared" si="1"/>
        <v>1492800</v>
      </c>
      <c r="Q64">
        <v>1492800</v>
      </c>
      <c r="S64" s="7">
        <f t="shared" si="5"/>
        <v>95</v>
      </c>
      <c r="T64" s="7">
        <v>20251231</v>
      </c>
    </row>
    <row r="65" spans="1:20" ht="15.6">
      <c r="A65" t="s">
        <v>210</v>
      </c>
      <c r="B65" t="s">
        <v>73</v>
      </c>
      <c r="C65" s="15">
        <v>2411.0100000000002</v>
      </c>
      <c r="D65">
        <v>20180101</v>
      </c>
      <c r="E65" t="s">
        <v>1</v>
      </c>
      <c r="F65">
        <v>20180101</v>
      </c>
      <c r="G65">
        <v>60</v>
      </c>
      <c r="H65" t="s">
        <v>2</v>
      </c>
      <c r="I65">
        <v>1082280</v>
      </c>
      <c r="J65">
        <v>0</v>
      </c>
      <c r="K65">
        <v>1</v>
      </c>
      <c r="L65">
        <v>0</v>
      </c>
      <c r="M65">
        <v>0</v>
      </c>
      <c r="N65">
        <v>104</v>
      </c>
      <c r="O65">
        <f t="shared" si="7"/>
        <v>1082280</v>
      </c>
      <c r="P65">
        <f t="shared" si="1"/>
        <v>1082280</v>
      </c>
      <c r="Q65">
        <v>1082280</v>
      </c>
      <c r="S65" s="7">
        <f t="shared" si="5"/>
        <v>95</v>
      </c>
      <c r="T65" s="7">
        <v>20251231</v>
      </c>
    </row>
    <row r="66" spans="1:20" ht="15.6">
      <c r="A66" t="s">
        <v>211</v>
      </c>
      <c r="B66" t="s">
        <v>74</v>
      </c>
      <c r="C66" s="15">
        <v>2411.0100000000002</v>
      </c>
      <c r="D66">
        <v>20180101</v>
      </c>
      <c r="E66" t="s">
        <v>1</v>
      </c>
      <c r="F66">
        <v>20180101</v>
      </c>
      <c r="G66">
        <v>60</v>
      </c>
      <c r="H66" t="s">
        <v>2</v>
      </c>
      <c r="I66">
        <v>1082280</v>
      </c>
      <c r="J66">
        <v>0</v>
      </c>
      <c r="K66">
        <v>1</v>
      </c>
      <c r="L66">
        <v>0</v>
      </c>
      <c r="M66">
        <v>0</v>
      </c>
      <c r="N66">
        <v>104</v>
      </c>
      <c r="O66">
        <f t="shared" si="7"/>
        <v>1082280</v>
      </c>
      <c r="P66">
        <f t="shared" si="1"/>
        <v>1082280</v>
      </c>
      <c r="Q66">
        <v>1082280</v>
      </c>
      <c r="S66" s="7">
        <f t="shared" ref="S66:S97" si="8">DATEDIF(DATE(LEFT(F66,4),MID(F66,5,2),MID(F66,7,2)), DATE(LEFT(T66,4),MID(T66,5,2),MID(T66,7,2)),"m")</f>
        <v>95</v>
      </c>
      <c r="T66" s="7">
        <v>20251231</v>
      </c>
    </row>
    <row r="67" spans="1:20" ht="15.6">
      <c r="A67" t="s">
        <v>212</v>
      </c>
      <c r="B67" t="s">
        <v>75</v>
      </c>
      <c r="C67" s="15">
        <v>2411.0100000000002</v>
      </c>
      <c r="D67">
        <v>20250630</v>
      </c>
      <c r="E67" t="s">
        <v>1</v>
      </c>
      <c r="F67">
        <v>20250630</v>
      </c>
      <c r="G67">
        <v>60</v>
      </c>
      <c r="H67" t="s">
        <v>2</v>
      </c>
      <c r="I67">
        <v>787050</v>
      </c>
      <c r="J67">
        <v>0</v>
      </c>
      <c r="K67">
        <v>1</v>
      </c>
      <c r="L67">
        <f t="shared" ref="L67:L88" si="9">G67-S67</f>
        <v>54</v>
      </c>
      <c r="M67">
        <f t="shared" ref="M67:M88" si="10">L67-1</f>
        <v>53</v>
      </c>
      <c r="N67">
        <v>104</v>
      </c>
      <c r="O67">
        <v>79351.890410000007</v>
      </c>
      <c r="P67">
        <f t="shared" ref="P67:P130" si="11">ROUND(O67, 2)</f>
        <v>79351.89</v>
      </c>
      <c r="Q67">
        <v>787050</v>
      </c>
      <c r="R67" t="s">
        <v>76</v>
      </c>
      <c r="S67" s="7">
        <f t="shared" si="8"/>
        <v>6</v>
      </c>
      <c r="T67" s="7">
        <v>20251231</v>
      </c>
    </row>
    <row r="68" spans="1:20" ht="15.6">
      <c r="A68" t="s">
        <v>213</v>
      </c>
      <c r="B68" t="s">
        <v>75</v>
      </c>
      <c r="C68" s="15">
        <v>2411.0100000000002</v>
      </c>
      <c r="D68">
        <v>20250630</v>
      </c>
      <c r="E68" t="s">
        <v>1</v>
      </c>
      <c r="F68">
        <v>20250630</v>
      </c>
      <c r="G68">
        <v>60</v>
      </c>
      <c r="H68" t="s">
        <v>2</v>
      </c>
      <c r="I68">
        <v>787050</v>
      </c>
      <c r="J68">
        <v>0</v>
      </c>
      <c r="K68">
        <v>1</v>
      </c>
      <c r="L68">
        <f t="shared" si="9"/>
        <v>54</v>
      </c>
      <c r="M68">
        <f t="shared" si="10"/>
        <v>53</v>
      </c>
      <c r="N68">
        <v>104</v>
      </c>
      <c r="O68">
        <v>79351.890410000007</v>
      </c>
      <c r="P68">
        <f t="shared" si="11"/>
        <v>79351.89</v>
      </c>
      <c r="Q68">
        <v>787050</v>
      </c>
      <c r="R68" t="s">
        <v>77</v>
      </c>
      <c r="S68" s="7">
        <f t="shared" si="8"/>
        <v>6</v>
      </c>
      <c r="T68" s="7">
        <v>20251231</v>
      </c>
    </row>
    <row r="69" spans="1:20" ht="15.6">
      <c r="A69" t="s">
        <v>214</v>
      </c>
      <c r="B69" t="s">
        <v>75</v>
      </c>
      <c r="C69" s="15">
        <v>2411.0100000000002</v>
      </c>
      <c r="D69">
        <v>20250630</v>
      </c>
      <c r="E69" t="s">
        <v>1</v>
      </c>
      <c r="F69">
        <v>20250630</v>
      </c>
      <c r="G69">
        <v>60</v>
      </c>
      <c r="H69" t="s">
        <v>2</v>
      </c>
      <c r="I69">
        <v>787050</v>
      </c>
      <c r="J69">
        <v>0</v>
      </c>
      <c r="K69">
        <v>1</v>
      </c>
      <c r="L69">
        <f t="shared" si="9"/>
        <v>54</v>
      </c>
      <c r="M69">
        <f t="shared" si="10"/>
        <v>53</v>
      </c>
      <c r="N69">
        <v>104</v>
      </c>
      <c r="O69">
        <v>79351.890410000007</v>
      </c>
      <c r="P69">
        <f t="shared" si="11"/>
        <v>79351.89</v>
      </c>
      <c r="Q69">
        <v>787050</v>
      </c>
      <c r="R69" t="s">
        <v>78</v>
      </c>
      <c r="S69" s="7">
        <f t="shared" si="8"/>
        <v>6</v>
      </c>
      <c r="T69" s="7">
        <v>20251231</v>
      </c>
    </row>
    <row r="70" spans="1:20" ht="15.6">
      <c r="A70" t="s">
        <v>215</v>
      </c>
      <c r="B70" t="s">
        <v>75</v>
      </c>
      <c r="C70" s="15">
        <v>2411.0100000000002</v>
      </c>
      <c r="D70">
        <v>20250630</v>
      </c>
      <c r="E70" t="s">
        <v>1</v>
      </c>
      <c r="F70">
        <v>20250630</v>
      </c>
      <c r="G70">
        <v>60</v>
      </c>
      <c r="H70" t="s">
        <v>2</v>
      </c>
      <c r="I70">
        <v>787050</v>
      </c>
      <c r="J70">
        <v>0</v>
      </c>
      <c r="K70">
        <v>1</v>
      </c>
      <c r="L70">
        <f t="shared" si="9"/>
        <v>54</v>
      </c>
      <c r="M70">
        <f t="shared" si="10"/>
        <v>53</v>
      </c>
      <c r="N70">
        <v>104</v>
      </c>
      <c r="O70">
        <v>79351.890410000007</v>
      </c>
      <c r="P70">
        <f t="shared" si="11"/>
        <v>79351.89</v>
      </c>
      <c r="Q70">
        <v>787050</v>
      </c>
      <c r="R70" t="s">
        <v>79</v>
      </c>
      <c r="S70" s="7">
        <f t="shared" si="8"/>
        <v>6</v>
      </c>
      <c r="T70" s="7">
        <v>20251231</v>
      </c>
    </row>
    <row r="71" spans="1:20" ht="15.6">
      <c r="A71" t="s">
        <v>216</v>
      </c>
      <c r="B71" t="s">
        <v>75</v>
      </c>
      <c r="C71" s="15">
        <v>2411.0100000000002</v>
      </c>
      <c r="D71">
        <v>20250630</v>
      </c>
      <c r="E71" t="s">
        <v>1</v>
      </c>
      <c r="F71">
        <v>20250630</v>
      </c>
      <c r="G71">
        <v>60</v>
      </c>
      <c r="H71" t="s">
        <v>2</v>
      </c>
      <c r="I71">
        <v>787050</v>
      </c>
      <c r="J71">
        <v>0</v>
      </c>
      <c r="K71">
        <v>1</v>
      </c>
      <c r="L71">
        <f t="shared" si="9"/>
        <v>54</v>
      </c>
      <c r="M71">
        <f t="shared" si="10"/>
        <v>53</v>
      </c>
      <c r="N71">
        <v>104</v>
      </c>
      <c r="O71">
        <v>79351.890410000007</v>
      </c>
      <c r="P71">
        <f t="shared" si="11"/>
        <v>79351.89</v>
      </c>
      <c r="Q71">
        <v>787050</v>
      </c>
      <c r="R71" t="s">
        <v>80</v>
      </c>
      <c r="S71" s="7">
        <f t="shared" si="8"/>
        <v>6</v>
      </c>
      <c r="T71" s="7">
        <v>20251231</v>
      </c>
    </row>
    <row r="72" spans="1:20" ht="15.6">
      <c r="A72" t="s">
        <v>217</v>
      </c>
      <c r="B72" t="s">
        <v>75</v>
      </c>
      <c r="C72" s="15">
        <v>2411.0100000000002</v>
      </c>
      <c r="D72">
        <v>20250630</v>
      </c>
      <c r="E72" t="s">
        <v>1</v>
      </c>
      <c r="F72">
        <v>20250630</v>
      </c>
      <c r="G72">
        <v>60</v>
      </c>
      <c r="H72" t="s">
        <v>2</v>
      </c>
      <c r="I72">
        <v>787050</v>
      </c>
      <c r="J72">
        <v>0</v>
      </c>
      <c r="K72">
        <v>1</v>
      </c>
      <c r="L72">
        <f t="shared" si="9"/>
        <v>54</v>
      </c>
      <c r="M72">
        <f t="shared" si="10"/>
        <v>53</v>
      </c>
      <c r="N72">
        <v>104</v>
      </c>
      <c r="O72">
        <v>79351.890410000007</v>
      </c>
      <c r="P72">
        <f t="shared" si="11"/>
        <v>79351.89</v>
      </c>
      <c r="Q72">
        <v>787050</v>
      </c>
      <c r="R72" t="s">
        <v>81</v>
      </c>
      <c r="S72" s="7">
        <f t="shared" si="8"/>
        <v>6</v>
      </c>
      <c r="T72" s="7">
        <v>20251231</v>
      </c>
    </row>
    <row r="73" spans="1:20" ht="15.6">
      <c r="A73" t="s">
        <v>218</v>
      </c>
      <c r="B73" t="s">
        <v>75</v>
      </c>
      <c r="C73" s="15">
        <v>2411.0100000000002</v>
      </c>
      <c r="D73">
        <v>20250630</v>
      </c>
      <c r="E73" t="s">
        <v>1</v>
      </c>
      <c r="F73">
        <v>20250630</v>
      </c>
      <c r="G73">
        <v>60</v>
      </c>
      <c r="H73" t="s">
        <v>2</v>
      </c>
      <c r="I73">
        <v>787050</v>
      </c>
      <c r="J73">
        <v>0</v>
      </c>
      <c r="K73">
        <v>1</v>
      </c>
      <c r="L73">
        <f t="shared" si="9"/>
        <v>54</v>
      </c>
      <c r="M73">
        <f t="shared" si="10"/>
        <v>53</v>
      </c>
      <c r="N73">
        <v>104</v>
      </c>
      <c r="O73">
        <v>79351.890410000007</v>
      </c>
      <c r="P73">
        <f t="shared" si="11"/>
        <v>79351.89</v>
      </c>
      <c r="Q73">
        <v>787050</v>
      </c>
      <c r="R73" t="s">
        <v>82</v>
      </c>
      <c r="S73" s="7">
        <f t="shared" si="8"/>
        <v>6</v>
      </c>
      <c r="T73" s="7">
        <v>20251231</v>
      </c>
    </row>
    <row r="74" spans="1:20" ht="15.6">
      <c r="A74" t="s">
        <v>219</v>
      </c>
      <c r="B74" t="s">
        <v>75</v>
      </c>
      <c r="C74" s="15">
        <v>2411.0100000000002</v>
      </c>
      <c r="D74">
        <v>20250630</v>
      </c>
      <c r="E74" t="s">
        <v>1</v>
      </c>
      <c r="F74">
        <v>20250630</v>
      </c>
      <c r="G74">
        <v>60</v>
      </c>
      <c r="H74" t="s">
        <v>2</v>
      </c>
      <c r="I74">
        <v>787050</v>
      </c>
      <c r="J74">
        <v>0</v>
      </c>
      <c r="K74">
        <v>1</v>
      </c>
      <c r="L74">
        <f t="shared" si="9"/>
        <v>54</v>
      </c>
      <c r="M74">
        <f t="shared" si="10"/>
        <v>53</v>
      </c>
      <c r="N74">
        <v>104</v>
      </c>
      <c r="O74">
        <v>79351.890410000007</v>
      </c>
      <c r="P74">
        <f t="shared" si="11"/>
        <v>79351.89</v>
      </c>
      <c r="Q74">
        <v>787050</v>
      </c>
      <c r="R74" t="s">
        <v>83</v>
      </c>
      <c r="S74" s="7">
        <f t="shared" si="8"/>
        <v>6</v>
      </c>
      <c r="T74" s="7">
        <v>20251231</v>
      </c>
    </row>
    <row r="75" spans="1:20" ht="15.6">
      <c r="A75" t="s">
        <v>220</v>
      </c>
      <c r="B75" t="s">
        <v>75</v>
      </c>
      <c r="C75" s="15">
        <v>2411.0100000000002</v>
      </c>
      <c r="D75">
        <v>20250630</v>
      </c>
      <c r="E75" t="s">
        <v>1</v>
      </c>
      <c r="F75">
        <v>20250630</v>
      </c>
      <c r="G75">
        <v>60</v>
      </c>
      <c r="H75" t="s">
        <v>2</v>
      </c>
      <c r="I75">
        <v>787050</v>
      </c>
      <c r="J75">
        <v>0</v>
      </c>
      <c r="K75">
        <v>1</v>
      </c>
      <c r="L75">
        <f t="shared" si="9"/>
        <v>54</v>
      </c>
      <c r="M75">
        <f t="shared" si="10"/>
        <v>53</v>
      </c>
      <c r="N75">
        <v>104</v>
      </c>
      <c r="O75">
        <v>79351.890410000007</v>
      </c>
      <c r="P75">
        <f t="shared" si="11"/>
        <v>79351.89</v>
      </c>
      <c r="Q75">
        <v>787050</v>
      </c>
      <c r="R75" t="s">
        <v>84</v>
      </c>
      <c r="S75" s="7">
        <f t="shared" si="8"/>
        <v>6</v>
      </c>
      <c r="T75" s="7">
        <v>20251231</v>
      </c>
    </row>
    <row r="76" spans="1:20" ht="15.6">
      <c r="A76" t="s">
        <v>221</v>
      </c>
      <c r="B76" t="s">
        <v>75</v>
      </c>
      <c r="C76" s="15">
        <v>2411.0100000000002</v>
      </c>
      <c r="D76">
        <v>20250630</v>
      </c>
      <c r="E76" t="s">
        <v>1</v>
      </c>
      <c r="F76">
        <v>20250630</v>
      </c>
      <c r="G76">
        <v>60</v>
      </c>
      <c r="H76" t="s">
        <v>2</v>
      </c>
      <c r="I76">
        <v>787050</v>
      </c>
      <c r="J76">
        <v>0</v>
      </c>
      <c r="K76">
        <v>1</v>
      </c>
      <c r="L76">
        <f t="shared" si="9"/>
        <v>54</v>
      </c>
      <c r="M76">
        <f t="shared" si="10"/>
        <v>53</v>
      </c>
      <c r="N76">
        <v>104</v>
      </c>
      <c r="O76">
        <v>79351.890410000007</v>
      </c>
      <c r="P76">
        <f t="shared" si="11"/>
        <v>79351.89</v>
      </c>
      <c r="Q76">
        <v>787050</v>
      </c>
      <c r="R76" t="s">
        <v>85</v>
      </c>
      <c r="S76" s="7">
        <f t="shared" si="8"/>
        <v>6</v>
      </c>
      <c r="T76" s="7">
        <v>20251231</v>
      </c>
    </row>
    <row r="77" spans="1:20" ht="15.6">
      <c r="A77" t="s">
        <v>222</v>
      </c>
      <c r="B77" t="s">
        <v>75</v>
      </c>
      <c r="C77" s="15">
        <v>2411.0100000000002</v>
      </c>
      <c r="D77">
        <v>20250630</v>
      </c>
      <c r="E77" t="s">
        <v>1</v>
      </c>
      <c r="F77">
        <v>20250630</v>
      </c>
      <c r="G77">
        <v>60</v>
      </c>
      <c r="H77" t="s">
        <v>2</v>
      </c>
      <c r="I77">
        <v>787050</v>
      </c>
      <c r="J77">
        <v>0</v>
      </c>
      <c r="K77">
        <v>1</v>
      </c>
      <c r="L77">
        <f t="shared" si="9"/>
        <v>54</v>
      </c>
      <c r="M77">
        <f t="shared" si="10"/>
        <v>53</v>
      </c>
      <c r="N77">
        <v>104</v>
      </c>
      <c r="O77">
        <v>79351.890410000007</v>
      </c>
      <c r="P77">
        <f t="shared" si="11"/>
        <v>79351.89</v>
      </c>
      <c r="Q77">
        <v>787050</v>
      </c>
      <c r="R77" t="s">
        <v>86</v>
      </c>
      <c r="S77" s="7">
        <f t="shared" si="8"/>
        <v>6</v>
      </c>
      <c r="T77" s="7">
        <v>20251231</v>
      </c>
    </row>
    <row r="78" spans="1:20" ht="15.6">
      <c r="A78" t="s">
        <v>223</v>
      </c>
      <c r="B78" t="s">
        <v>75</v>
      </c>
      <c r="C78" s="15">
        <v>2411.0100000000002</v>
      </c>
      <c r="D78">
        <v>20250630</v>
      </c>
      <c r="E78" t="s">
        <v>1</v>
      </c>
      <c r="F78">
        <v>20250630</v>
      </c>
      <c r="G78">
        <v>60</v>
      </c>
      <c r="H78" t="s">
        <v>2</v>
      </c>
      <c r="I78">
        <v>787050</v>
      </c>
      <c r="J78">
        <v>0</v>
      </c>
      <c r="K78">
        <v>1</v>
      </c>
      <c r="L78">
        <f t="shared" si="9"/>
        <v>54</v>
      </c>
      <c r="M78">
        <f t="shared" si="10"/>
        <v>53</v>
      </c>
      <c r="N78">
        <v>104</v>
      </c>
      <c r="O78">
        <v>79351.890410000007</v>
      </c>
      <c r="P78">
        <f t="shared" si="11"/>
        <v>79351.89</v>
      </c>
      <c r="Q78">
        <v>787050</v>
      </c>
      <c r="R78" t="s">
        <v>87</v>
      </c>
      <c r="S78" s="7">
        <f t="shared" si="8"/>
        <v>6</v>
      </c>
      <c r="T78" s="7">
        <v>20251231</v>
      </c>
    </row>
    <row r="79" spans="1:20" ht="15.6">
      <c r="A79" t="s">
        <v>224</v>
      </c>
      <c r="B79" t="s">
        <v>75</v>
      </c>
      <c r="C79" s="15">
        <v>2411.0100000000002</v>
      </c>
      <c r="D79">
        <v>20250630</v>
      </c>
      <c r="E79" t="s">
        <v>1</v>
      </c>
      <c r="F79">
        <v>20250630</v>
      </c>
      <c r="G79">
        <v>60</v>
      </c>
      <c r="H79" t="s">
        <v>2</v>
      </c>
      <c r="I79">
        <v>787050</v>
      </c>
      <c r="J79">
        <v>0</v>
      </c>
      <c r="K79">
        <v>1</v>
      </c>
      <c r="L79">
        <f t="shared" si="9"/>
        <v>54</v>
      </c>
      <c r="M79">
        <f t="shared" si="10"/>
        <v>53</v>
      </c>
      <c r="N79">
        <v>104</v>
      </c>
      <c r="O79">
        <v>79351.890410000007</v>
      </c>
      <c r="P79">
        <f t="shared" si="11"/>
        <v>79351.89</v>
      </c>
      <c r="Q79">
        <v>787050</v>
      </c>
      <c r="R79" t="s">
        <v>88</v>
      </c>
      <c r="S79" s="7">
        <f t="shared" si="8"/>
        <v>6</v>
      </c>
      <c r="T79" s="7">
        <v>20251231</v>
      </c>
    </row>
    <row r="80" spans="1:20" ht="15.6">
      <c r="A80" t="s">
        <v>225</v>
      </c>
      <c r="B80" t="s">
        <v>75</v>
      </c>
      <c r="C80" s="15">
        <v>2411.0100000000002</v>
      </c>
      <c r="D80">
        <v>20250630</v>
      </c>
      <c r="E80" t="s">
        <v>1</v>
      </c>
      <c r="F80">
        <v>20250630</v>
      </c>
      <c r="G80">
        <v>60</v>
      </c>
      <c r="H80" t="s">
        <v>2</v>
      </c>
      <c r="I80">
        <v>787050</v>
      </c>
      <c r="J80">
        <v>0</v>
      </c>
      <c r="K80">
        <v>1</v>
      </c>
      <c r="L80">
        <f t="shared" si="9"/>
        <v>54</v>
      </c>
      <c r="M80">
        <f t="shared" si="10"/>
        <v>53</v>
      </c>
      <c r="N80">
        <v>104</v>
      </c>
      <c r="O80">
        <v>79351.890410000007</v>
      </c>
      <c r="P80">
        <f t="shared" si="11"/>
        <v>79351.89</v>
      </c>
      <c r="Q80">
        <v>787050</v>
      </c>
      <c r="R80" t="s">
        <v>89</v>
      </c>
      <c r="S80" s="7">
        <f t="shared" si="8"/>
        <v>6</v>
      </c>
      <c r="T80" s="7">
        <v>20251231</v>
      </c>
    </row>
    <row r="81" spans="1:20" ht="15.6">
      <c r="A81" t="s">
        <v>226</v>
      </c>
      <c r="B81" t="s">
        <v>75</v>
      </c>
      <c r="C81" s="15">
        <v>2411.0100000000002</v>
      </c>
      <c r="D81">
        <v>20250630</v>
      </c>
      <c r="E81" t="s">
        <v>1</v>
      </c>
      <c r="F81">
        <v>20250630</v>
      </c>
      <c r="G81">
        <v>60</v>
      </c>
      <c r="H81" t="s">
        <v>2</v>
      </c>
      <c r="I81">
        <v>787050</v>
      </c>
      <c r="J81">
        <v>0</v>
      </c>
      <c r="K81">
        <v>1</v>
      </c>
      <c r="L81">
        <f t="shared" si="9"/>
        <v>54</v>
      </c>
      <c r="M81">
        <f t="shared" si="10"/>
        <v>53</v>
      </c>
      <c r="N81">
        <v>104</v>
      </c>
      <c r="O81">
        <v>79351.890410000007</v>
      </c>
      <c r="P81">
        <f t="shared" si="11"/>
        <v>79351.89</v>
      </c>
      <c r="Q81">
        <v>787050</v>
      </c>
      <c r="R81" t="s">
        <v>90</v>
      </c>
      <c r="S81" s="7">
        <f t="shared" si="8"/>
        <v>6</v>
      </c>
      <c r="T81" s="7">
        <v>20251231</v>
      </c>
    </row>
    <row r="82" spans="1:20" ht="15.6">
      <c r="A82" t="s">
        <v>227</v>
      </c>
      <c r="B82" t="s">
        <v>75</v>
      </c>
      <c r="C82" s="15">
        <v>2411.0100000000002</v>
      </c>
      <c r="D82">
        <v>20250630</v>
      </c>
      <c r="E82" t="s">
        <v>1</v>
      </c>
      <c r="F82">
        <v>20250630</v>
      </c>
      <c r="G82">
        <v>60</v>
      </c>
      <c r="H82" t="s">
        <v>2</v>
      </c>
      <c r="I82">
        <v>787050</v>
      </c>
      <c r="J82">
        <v>0</v>
      </c>
      <c r="K82">
        <v>1</v>
      </c>
      <c r="L82">
        <f t="shared" si="9"/>
        <v>54</v>
      </c>
      <c r="M82">
        <f t="shared" si="10"/>
        <v>53</v>
      </c>
      <c r="N82">
        <v>104</v>
      </c>
      <c r="O82">
        <v>79351.890410000007</v>
      </c>
      <c r="P82">
        <f t="shared" si="11"/>
        <v>79351.89</v>
      </c>
      <c r="Q82">
        <v>787050</v>
      </c>
      <c r="R82" t="s">
        <v>91</v>
      </c>
      <c r="S82" s="7">
        <f t="shared" si="8"/>
        <v>6</v>
      </c>
      <c r="T82" s="7">
        <v>20251231</v>
      </c>
    </row>
    <row r="83" spans="1:20" ht="15.6">
      <c r="A83" t="s">
        <v>228</v>
      </c>
      <c r="B83" t="s">
        <v>75</v>
      </c>
      <c r="C83" s="15">
        <v>2411.0100000000002</v>
      </c>
      <c r="D83">
        <v>20250630</v>
      </c>
      <c r="E83" t="s">
        <v>1</v>
      </c>
      <c r="F83">
        <v>20250630</v>
      </c>
      <c r="G83">
        <v>60</v>
      </c>
      <c r="H83" t="s">
        <v>2</v>
      </c>
      <c r="I83">
        <v>787050</v>
      </c>
      <c r="J83">
        <v>0</v>
      </c>
      <c r="K83">
        <v>1</v>
      </c>
      <c r="L83">
        <f t="shared" si="9"/>
        <v>54</v>
      </c>
      <c r="M83">
        <f t="shared" si="10"/>
        <v>53</v>
      </c>
      <c r="N83">
        <v>104</v>
      </c>
      <c r="O83">
        <v>79351.890410000007</v>
      </c>
      <c r="P83">
        <f t="shared" si="11"/>
        <v>79351.89</v>
      </c>
      <c r="Q83">
        <v>787050</v>
      </c>
      <c r="R83" t="s">
        <v>92</v>
      </c>
      <c r="S83" s="7">
        <f t="shared" si="8"/>
        <v>6</v>
      </c>
      <c r="T83" s="7">
        <v>20251231</v>
      </c>
    </row>
    <row r="84" spans="1:20" ht="15.6">
      <c r="A84" t="s">
        <v>229</v>
      </c>
      <c r="B84" t="s">
        <v>75</v>
      </c>
      <c r="C84" s="15">
        <v>2411.0100000000002</v>
      </c>
      <c r="D84">
        <v>20250630</v>
      </c>
      <c r="E84" t="s">
        <v>1</v>
      </c>
      <c r="F84">
        <v>20250630</v>
      </c>
      <c r="G84">
        <v>60</v>
      </c>
      <c r="H84" t="s">
        <v>2</v>
      </c>
      <c r="I84">
        <v>787050</v>
      </c>
      <c r="J84">
        <v>0</v>
      </c>
      <c r="K84">
        <v>1</v>
      </c>
      <c r="L84">
        <f t="shared" si="9"/>
        <v>54</v>
      </c>
      <c r="M84">
        <f t="shared" si="10"/>
        <v>53</v>
      </c>
      <c r="N84">
        <v>104</v>
      </c>
      <c r="O84">
        <v>79351.890410000007</v>
      </c>
      <c r="P84">
        <f t="shared" si="11"/>
        <v>79351.89</v>
      </c>
      <c r="Q84">
        <v>787050</v>
      </c>
      <c r="R84" t="s">
        <v>93</v>
      </c>
      <c r="S84" s="7">
        <f t="shared" si="8"/>
        <v>6</v>
      </c>
      <c r="T84" s="7">
        <v>20251231</v>
      </c>
    </row>
    <row r="85" spans="1:20" ht="15.6">
      <c r="A85" t="s">
        <v>230</v>
      </c>
      <c r="B85" t="s">
        <v>94</v>
      </c>
      <c r="C85" s="15">
        <v>2411.0100000000002</v>
      </c>
      <c r="D85">
        <v>20241230</v>
      </c>
      <c r="E85" t="s">
        <v>1</v>
      </c>
      <c r="F85">
        <v>20241230</v>
      </c>
      <c r="G85">
        <v>60</v>
      </c>
      <c r="H85" t="s">
        <v>2</v>
      </c>
      <c r="I85">
        <v>32762400</v>
      </c>
      <c r="J85">
        <v>0</v>
      </c>
      <c r="K85">
        <v>1</v>
      </c>
      <c r="L85">
        <f t="shared" si="9"/>
        <v>48</v>
      </c>
      <c r="M85">
        <f t="shared" si="10"/>
        <v>47</v>
      </c>
      <c r="N85">
        <v>104</v>
      </c>
      <c r="O85">
        <v>6570432</v>
      </c>
      <c r="P85">
        <f t="shared" si="11"/>
        <v>6570432</v>
      </c>
      <c r="Q85">
        <v>32762400</v>
      </c>
      <c r="R85" t="s">
        <v>95</v>
      </c>
      <c r="S85" s="7">
        <f t="shared" si="8"/>
        <v>12</v>
      </c>
      <c r="T85" s="7">
        <v>20251231</v>
      </c>
    </row>
    <row r="86" spans="1:20" ht="15.6">
      <c r="A86" t="s">
        <v>231</v>
      </c>
      <c r="B86" t="s">
        <v>96</v>
      </c>
      <c r="C86" s="15">
        <v>2411.0100000000002</v>
      </c>
      <c r="D86">
        <v>20220607</v>
      </c>
      <c r="E86" t="s">
        <v>1</v>
      </c>
      <c r="F86">
        <v>20220607</v>
      </c>
      <c r="G86">
        <v>60</v>
      </c>
      <c r="H86" t="s">
        <v>2</v>
      </c>
      <c r="I86">
        <v>3516559</v>
      </c>
      <c r="J86">
        <v>0</v>
      </c>
      <c r="K86">
        <v>1</v>
      </c>
      <c r="L86">
        <f t="shared" si="9"/>
        <v>18</v>
      </c>
      <c r="M86">
        <f t="shared" si="10"/>
        <v>17</v>
      </c>
      <c r="N86">
        <v>104</v>
      </c>
      <c r="O86">
        <v>2510726.7820000001</v>
      </c>
      <c r="P86">
        <f t="shared" si="11"/>
        <v>2510726.7799999998</v>
      </c>
      <c r="Q86">
        <v>3516559</v>
      </c>
      <c r="S86" s="7">
        <f t="shared" si="8"/>
        <v>42</v>
      </c>
      <c r="T86" s="7">
        <v>20251231</v>
      </c>
    </row>
    <row r="87" spans="1:20" ht="15.6">
      <c r="A87" t="s">
        <v>232</v>
      </c>
      <c r="B87" t="s">
        <v>97</v>
      </c>
      <c r="C87" s="15">
        <v>2411.0100000000002</v>
      </c>
      <c r="D87">
        <v>20220607</v>
      </c>
      <c r="E87" t="s">
        <v>1</v>
      </c>
      <c r="F87">
        <v>20220607</v>
      </c>
      <c r="G87">
        <v>60</v>
      </c>
      <c r="H87" t="s">
        <v>2</v>
      </c>
      <c r="I87">
        <v>3516559</v>
      </c>
      <c r="J87">
        <v>0</v>
      </c>
      <c r="K87">
        <v>1</v>
      </c>
      <c r="L87">
        <f t="shared" si="9"/>
        <v>18</v>
      </c>
      <c r="M87">
        <f t="shared" si="10"/>
        <v>17</v>
      </c>
      <c r="N87">
        <v>104</v>
      </c>
      <c r="O87">
        <v>2510726.7820000001</v>
      </c>
      <c r="P87">
        <f t="shared" si="11"/>
        <v>2510726.7799999998</v>
      </c>
      <c r="Q87">
        <v>3516559</v>
      </c>
      <c r="S87" s="7">
        <f t="shared" si="8"/>
        <v>42</v>
      </c>
      <c r="T87" s="7">
        <v>20251231</v>
      </c>
    </row>
    <row r="88" spans="1:20" ht="15.6">
      <c r="A88" t="s">
        <v>233</v>
      </c>
      <c r="B88" t="s">
        <v>98</v>
      </c>
      <c r="C88" s="15">
        <v>2411.0100000000002</v>
      </c>
      <c r="D88">
        <v>20250725</v>
      </c>
      <c r="E88" t="s">
        <v>1</v>
      </c>
      <c r="F88">
        <v>20250725</v>
      </c>
      <c r="G88">
        <v>60</v>
      </c>
      <c r="H88" t="s">
        <v>2</v>
      </c>
      <c r="I88">
        <v>16082000</v>
      </c>
      <c r="J88">
        <v>0</v>
      </c>
      <c r="K88">
        <v>1</v>
      </c>
      <c r="L88">
        <f t="shared" si="9"/>
        <v>55</v>
      </c>
      <c r="M88">
        <f t="shared" si="10"/>
        <v>54</v>
      </c>
      <c r="N88">
        <v>104</v>
      </c>
      <c r="O88">
        <v>1401116.7120000001</v>
      </c>
      <c r="P88">
        <f t="shared" si="11"/>
        <v>1401116.71</v>
      </c>
      <c r="Q88">
        <v>16082000</v>
      </c>
      <c r="R88" t="s">
        <v>99</v>
      </c>
      <c r="S88" s="7">
        <f t="shared" si="8"/>
        <v>5</v>
      </c>
      <c r="T88" s="7">
        <v>20251231</v>
      </c>
    </row>
    <row r="89" spans="1:20" ht="15.6">
      <c r="A89" t="s">
        <v>234</v>
      </c>
      <c r="B89" t="s">
        <v>100</v>
      </c>
      <c r="C89" s="15">
        <v>2411.0100000000002</v>
      </c>
      <c r="D89">
        <v>20180101</v>
      </c>
      <c r="E89" t="s">
        <v>1</v>
      </c>
      <c r="F89">
        <v>20180101</v>
      </c>
      <c r="G89">
        <v>60</v>
      </c>
      <c r="H89" t="s">
        <v>2</v>
      </c>
      <c r="I89">
        <v>1337300</v>
      </c>
      <c r="J89">
        <v>0</v>
      </c>
      <c r="K89">
        <v>1</v>
      </c>
      <c r="L89">
        <v>0</v>
      </c>
      <c r="M89">
        <v>0</v>
      </c>
      <c r="N89">
        <v>104</v>
      </c>
      <c r="O89">
        <f t="shared" ref="O89:O130" si="12">I89</f>
        <v>1337300</v>
      </c>
      <c r="P89">
        <f t="shared" si="11"/>
        <v>1337300</v>
      </c>
      <c r="Q89">
        <v>1337300</v>
      </c>
      <c r="S89" s="7">
        <f t="shared" si="8"/>
        <v>95</v>
      </c>
      <c r="T89" s="7">
        <v>20251231</v>
      </c>
    </row>
    <row r="90" spans="1:20" ht="15.6">
      <c r="A90" t="s">
        <v>235</v>
      </c>
      <c r="B90" t="s">
        <v>101</v>
      </c>
      <c r="C90" s="15">
        <v>2411.0100000000002</v>
      </c>
      <c r="D90">
        <v>20190926</v>
      </c>
      <c r="E90" t="s">
        <v>1</v>
      </c>
      <c r="F90">
        <v>20190926</v>
      </c>
      <c r="G90">
        <v>60</v>
      </c>
      <c r="H90" t="s">
        <v>2</v>
      </c>
      <c r="I90">
        <v>2492000</v>
      </c>
      <c r="J90">
        <v>0</v>
      </c>
      <c r="K90">
        <v>1</v>
      </c>
      <c r="L90">
        <v>0</v>
      </c>
      <c r="M90">
        <v>0</v>
      </c>
      <c r="N90">
        <v>104</v>
      </c>
      <c r="O90">
        <f t="shared" si="12"/>
        <v>2492000</v>
      </c>
      <c r="P90">
        <f t="shared" si="11"/>
        <v>2492000</v>
      </c>
      <c r="Q90">
        <v>2492000</v>
      </c>
      <c r="S90" s="7">
        <f t="shared" si="8"/>
        <v>75</v>
      </c>
      <c r="T90" s="7">
        <v>20251231</v>
      </c>
    </row>
    <row r="91" spans="1:20" ht="15.6">
      <c r="A91" t="s">
        <v>236</v>
      </c>
      <c r="B91" t="s">
        <v>102</v>
      </c>
      <c r="C91" s="15">
        <v>2411.0100000000002</v>
      </c>
      <c r="D91">
        <v>20180101</v>
      </c>
      <c r="E91" t="s">
        <v>1</v>
      </c>
      <c r="F91">
        <v>20180101</v>
      </c>
      <c r="G91">
        <v>60</v>
      </c>
      <c r="H91" t="s">
        <v>2</v>
      </c>
      <c r="I91">
        <v>3918600</v>
      </c>
      <c r="J91">
        <v>0</v>
      </c>
      <c r="K91">
        <v>1</v>
      </c>
      <c r="L91">
        <v>0</v>
      </c>
      <c r="M91">
        <v>0</v>
      </c>
      <c r="N91">
        <v>104</v>
      </c>
      <c r="O91">
        <f t="shared" si="12"/>
        <v>3918600</v>
      </c>
      <c r="P91">
        <f t="shared" si="11"/>
        <v>3918600</v>
      </c>
      <c r="Q91">
        <v>3918600</v>
      </c>
      <c r="S91" s="7">
        <f t="shared" si="8"/>
        <v>95</v>
      </c>
      <c r="T91" s="7">
        <v>20251231</v>
      </c>
    </row>
    <row r="92" spans="1:20" ht="15.6">
      <c r="A92" t="s">
        <v>237</v>
      </c>
      <c r="B92" t="s">
        <v>103</v>
      </c>
      <c r="C92" s="15">
        <v>2411.0100000000002</v>
      </c>
      <c r="D92">
        <v>20180101</v>
      </c>
      <c r="E92" t="s">
        <v>1</v>
      </c>
      <c r="F92">
        <v>20180101</v>
      </c>
      <c r="G92">
        <v>60</v>
      </c>
      <c r="H92" t="s">
        <v>2</v>
      </c>
      <c r="I92">
        <v>839700</v>
      </c>
      <c r="J92">
        <v>0</v>
      </c>
      <c r="K92">
        <v>1</v>
      </c>
      <c r="L92">
        <v>0</v>
      </c>
      <c r="M92">
        <v>0</v>
      </c>
      <c r="N92">
        <v>104</v>
      </c>
      <c r="O92">
        <f t="shared" si="12"/>
        <v>839700</v>
      </c>
      <c r="P92">
        <f t="shared" si="11"/>
        <v>839700</v>
      </c>
      <c r="Q92">
        <v>839700</v>
      </c>
      <c r="S92" s="7">
        <f t="shared" si="8"/>
        <v>95</v>
      </c>
      <c r="T92" s="7">
        <v>20251231</v>
      </c>
    </row>
    <row r="93" spans="1:20" ht="15.6">
      <c r="A93" t="s">
        <v>238</v>
      </c>
      <c r="B93" t="s">
        <v>103</v>
      </c>
      <c r="C93" s="15">
        <v>2411.0100000000002</v>
      </c>
      <c r="D93">
        <v>20180101</v>
      </c>
      <c r="E93" t="s">
        <v>1</v>
      </c>
      <c r="F93">
        <v>20180101</v>
      </c>
      <c r="G93">
        <v>60</v>
      </c>
      <c r="H93" t="s">
        <v>2</v>
      </c>
      <c r="I93">
        <v>839700</v>
      </c>
      <c r="J93">
        <v>0</v>
      </c>
      <c r="K93">
        <v>1</v>
      </c>
      <c r="L93">
        <v>0</v>
      </c>
      <c r="M93">
        <v>0</v>
      </c>
      <c r="N93">
        <v>104</v>
      </c>
      <c r="O93">
        <f t="shared" si="12"/>
        <v>839700</v>
      </c>
      <c r="P93">
        <f t="shared" si="11"/>
        <v>839700</v>
      </c>
      <c r="Q93">
        <v>839700</v>
      </c>
      <c r="S93" s="7">
        <f t="shared" si="8"/>
        <v>95</v>
      </c>
      <c r="T93" s="7">
        <v>20251231</v>
      </c>
    </row>
    <row r="94" spans="1:20" ht="15.6">
      <c r="A94" t="s">
        <v>239</v>
      </c>
      <c r="B94" t="s">
        <v>103</v>
      </c>
      <c r="C94" s="15">
        <v>2411.0100000000002</v>
      </c>
      <c r="D94">
        <v>20180101</v>
      </c>
      <c r="E94" t="s">
        <v>1</v>
      </c>
      <c r="F94">
        <v>20180101</v>
      </c>
      <c r="G94">
        <v>60</v>
      </c>
      <c r="H94" t="s">
        <v>2</v>
      </c>
      <c r="I94">
        <v>839700</v>
      </c>
      <c r="J94">
        <v>0</v>
      </c>
      <c r="K94">
        <v>1</v>
      </c>
      <c r="L94">
        <v>0</v>
      </c>
      <c r="M94">
        <v>0</v>
      </c>
      <c r="N94">
        <v>104</v>
      </c>
      <c r="O94">
        <f t="shared" si="12"/>
        <v>839700</v>
      </c>
      <c r="P94">
        <f t="shared" si="11"/>
        <v>839700</v>
      </c>
      <c r="Q94">
        <v>839700</v>
      </c>
      <c r="S94" s="7">
        <f t="shared" si="8"/>
        <v>95</v>
      </c>
      <c r="T94" s="7">
        <v>20251231</v>
      </c>
    </row>
    <row r="95" spans="1:20" ht="15.6">
      <c r="A95" t="s">
        <v>240</v>
      </c>
      <c r="B95" t="s">
        <v>103</v>
      </c>
      <c r="C95" s="15">
        <v>2411.0100000000002</v>
      </c>
      <c r="D95">
        <v>20180101</v>
      </c>
      <c r="E95" t="s">
        <v>1</v>
      </c>
      <c r="F95">
        <v>20180101</v>
      </c>
      <c r="G95">
        <v>60</v>
      </c>
      <c r="H95" t="s">
        <v>2</v>
      </c>
      <c r="I95">
        <v>839700</v>
      </c>
      <c r="J95">
        <v>0</v>
      </c>
      <c r="K95">
        <v>1</v>
      </c>
      <c r="L95">
        <v>0</v>
      </c>
      <c r="M95">
        <v>0</v>
      </c>
      <c r="N95">
        <v>104</v>
      </c>
      <c r="O95">
        <f t="shared" si="12"/>
        <v>839700</v>
      </c>
      <c r="P95">
        <f t="shared" si="11"/>
        <v>839700</v>
      </c>
      <c r="Q95">
        <v>839700</v>
      </c>
      <c r="S95" s="7">
        <f t="shared" si="8"/>
        <v>95</v>
      </c>
      <c r="T95" s="7">
        <v>20251231</v>
      </c>
    </row>
    <row r="96" spans="1:20" ht="15.6">
      <c r="A96" t="s">
        <v>241</v>
      </c>
      <c r="B96" t="s">
        <v>104</v>
      </c>
      <c r="C96" s="15">
        <v>2411.0100000000002</v>
      </c>
      <c r="D96">
        <v>20180101</v>
      </c>
      <c r="E96" t="s">
        <v>1</v>
      </c>
      <c r="F96">
        <v>20180101</v>
      </c>
      <c r="G96">
        <v>60</v>
      </c>
      <c r="H96" t="s">
        <v>2</v>
      </c>
      <c r="I96">
        <v>995200</v>
      </c>
      <c r="J96">
        <v>0</v>
      </c>
      <c r="K96">
        <v>1</v>
      </c>
      <c r="L96">
        <v>0</v>
      </c>
      <c r="M96">
        <v>0</v>
      </c>
      <c r="N96">
        <v>104</v>
      </c>
      <c r="O96">
        <f t="shared" si="12"/>
        <v>995200</v>
      </c>
      <c r="P96">
        <f t="shared" si="11"/>
        <v>995200</v>
      </c>
      <c r="Q96">
        <v>995200</v>
      </c>
      <c r="S96" s="7">
        <f t="shared" si="8"/>
        <v>95</v>
      </c>
      <c r="T96" s="7">
        <v>20251231</v>
      </c>
    </row>
    <row r="97" spans="1:20" ht="15.6">
      <c r="A97" t="s">
        <v>242</v>
      </c>
      <c r="B97" t="s">
        <v>105</v>
      </c>
      <c r="C97" s="15">
        <v>2411.0100000000002</v>
      </c>
      <c r="D97">
        <v>20201203</v>
      </c>
      <c r="E97" t="s">
        <v>1</v>
      </c>
      <c r="F97">
        <v>20201203</v>
      </c>
      <c r="G97">
        <v>60</v>
      </c>
      <c r="H97" t="s">
        <v>2</v>
      </c>
      <c r="I97">
        <v>1140000</v>
      </c>
      <c r="J97">
        <v>0</v>
      </c>
      <c r="K97">
        <v>1</v>
      </c>
      <c r="L97">
        <f>G97-S97</f>
        <v>0</v>
      </c>
      <c r="M97">
        <v>0</v>
      </c>
      <c r="N97">
        <v>104</v>
      </c>
      <c r="O97">
        <f t="shared" si="12"/>
        <v>1140000</v>
      </c>
      <c r="P97">
        <f t="shared" si="11"/>
        <v>1140000</v>
      </c>
      <c r="Q97">
        <v>1140000</v>
      </c>
      <c r="S97" s="7">
        <f t="shared" si="8"/>
        <v>60</v>
      </c>
      <c r="T97" s="7">
        <v>20251231</v>
      </c>
    </row>
    <row r="98" spans="1:20" ht="15.6">
      <c r="A98" t="s">
        <v>243</v>
      </c>
      <c r="B98" t="s">
        <v>106</v>
      </c>
      <c r="C98" s="15">
        <v>2411.0100000000002</v>
      </c>
      <c r="D98">
        <v>20201203</v>
      </c>
      <c r="E98" t="s">
        <v>1</v>
      </c>
      <c r="F98">
        <v>20201203</v>
      </c>
      <c r="G98">
        <v>60</v>
      </c>
      <c r="H98" t="s">
        <v>2</v>
      </c>
      <c r="I98">
        <v>1140000</v>
      </c>
      <c r="J98">
        <v>0</v>
      </c>
      <c r="K98">
        <v>1</v>
      </c>
      <c r="L98">
        <f>G98-S98</f>
        <v>0</v>
      </c>
      <c r="M98">
        <v>0</v>
      </c>
      <c r="N98">
        <v>104</v>
      </c>
      <c r="O98">
        <f t="shared" si="12"/>
        <v>1140000</v>
      </c>
      <c r="P98">
        <f t="shared" si="11"/>
        <v>1140000</v>
      </c>
      <c r="Q98">
        <v>1140000</v>
      </c>
      <c r="S98" s="7">
        <f t="shared" ref="S98:S129" si="13">DATEDIF(DATE(LEFT(F98,4),MID(F98,5,2),MID(F98,7,2)), DATE(LEFT(T98,4),MID(T98,5,2),MID(T98,7,2)),"m")</f>
        <v>60</v>
      </c>
      <c r="T98" s="7">
        <v>20251231</v>
      </c>
    </row>
    <row r="99" spans="1:20" ht="15.6">
      <c r="A99" t="s">
        <v>244</v>
      </c>
      <c r="B99" t="s">
        <v>106</v>
      </c>
      <c r="C99" s="15">
        <v>2411.0100000000002</v>
      </c>
      <c r="D99">
        <v>20201203</v>
      </c>
      <c r="E99" t="s">
        <v>1</v>
      </c>
      <c r="F99">
        <v>20201203</v>
      </c>
      <c r="G99">
        <v>60</v>
      </c>
      <c r="H99" t="s">
        <v>2</v>
      </c>
      <c r="I99">
        <v>1140000</v>
      </c>
      <c r="J99">
        <v>0</v>
      </c>
      <c r="K99">
        <v>1</v>
      </c>
      <c r="L99">
        <f>G99-S99</f>
        <v>0</v>
      </c>
      <c r="M99">
        <v>0</v>
      </c>
      <c r="N99">
        <v>104</v>
      </c>
      <c r="O99">
        <f t="shared" si="12"/>
        <v>1140000</v>
      </c>
      <c r="P99">
        <f t="shared" si="11"/>
        <v>1140000</v>
      </c>
      <c r="Q99">
        <v>1140000</v>
      </c>
      <c r="S99" s="7">
        <f t="shared" si="13"/>
        <v>60</v>
      </c>
      <c r="T99" s="7">
        <v>20251231</v>
      </c>
    </row>
    <row r="100" spans="1:20" ht="15.6">
      <c r="A100" t="s">
        <v>245</v>
      </c>
      <c r="B100" t="s">
        <v>107</v>
      </c>
      <c r="C100" s="15">
        <v>2411.0100000000002</v>
      </c>
      <c r="D100">
        <v>20180101</v>
      </c>
      <c r="E100" t="s">
        <v>1</v>
      </c>
      <c r="F100">
        <v>20180101</v>
      </c>
      <c r="G100">
        <v>60</v>
      </c>
      <c r="H100" t="s">
        <v>2</v>
      </c>
      <c r="I100">
        <v>933000</v>
      </c>
      <c r="J100">
        <v>0</v>
      </c>
      <c r="K100">
        <v>1</v>
      </c>
      <c r="L100">
        <v>0</v>
      </c>
      <c r="M100">
        <v>0</v>
      </c>
      <c r="N100">
        <v>104</v>
      </c>
      <c r="O100">
        <f t="shared" si="12"/>
        <v>933000</v>
      </c>
      <c r="P100">
        <f t="shared" si="11"/>
        <v>933000</v>
      </c>
      <c r="Q100">
        <v>933000</v>
      </c>
      <c r="S100" s="7">
        <f t="shared" si="13"/>
        <v>95</v>
      </c>
      <c r="T100" s="7">
        <v>20251231</v>
      </c>
    </row>
    <row r="101" spans="1:20" ht="15.6">
      <c r="A101" t="s">
        <v>246</v>
      </c>
      <c r="B101" t="s">
        <v>108</v>
      </c>
      <c r="C101" s="15">
        <v>2411.0100000000002</v>
      </c>
      <c r="D101">
        <v>20180101</v>
      </c>
      <c r="E101" t="s">
        <v>1</v>
      </c>
      <c r="F101">
        <v>20180101</v>
      </c>
      <c r="G101">
        <v>60</v>
      </c>
      <c r="H101" t="s">
        <v>2</v>
      </c>
      <c r="I101">
        <v>839700</v>
      </c>
      <c r="J101">
        <v>0</v>
      </c>
      <c r="K101">
        <v>1</v>
      </c>
      <c r="L101">
        <v>0</v>
      </c>
      <c r="M101">
        <v>0</v>
      </c>
      <c r="N101">
        <v>104</v>
      </c>
      <c r="O101">
        <f t="shared" si="12"/>
        <v>839700</v>
      </c>
      <c r="P101">
        <f t="shared" si="11"/>
        <v>839700</v>
      </c>
      <c r="Q101">
        <v>839700</v>
      </c>
      <c r="S101" s="7">
        <f t="shared" si="13"/>
        <v>95</v>
      </c>
      <c r="T101" s="7">
        <v>20251231</v>
      </c>
    </row>
    <row r="102" spans="1:20" ht="15.6">
      <c r="A102" t="s">
        <v>247</v>
      </c>
      <c r="B102" t="s">
        <v>109</v>
      </c>
      <c r="C102" s="15">
        <v>2411.0100000000002</v>
      </c>
      <c r="D102">
        <v>20180101</v>
      </c>
      <c r="E102" t="s">
        <v>1</v>
      </c>
      <c r="F102">
        <v>20180101</v>
      </c>
      <c r="G102">
        <v>60</v>
      </c>
      <c r="H102" t="s">
        <v>2</v>
      </c>
      <c r="I102">
        <v>622000</v>
      </c>
      <c r="J102">
        <v>0</v>
      </c>
      <c r="K102">
        <v>1</v>
      </c>
      <c r="L102">
        <v>0</v>
      </c>
      <c r="M102">
        <v>0</v>
      </c>
      <c r="N102">
        <v>104</v>
      </c>
      <c r="O102">
        <f t="shared" si="12"/>
        <v>622000</v>
      </c>
      <c r="P102">
        <f t="shared" si="11"/>
        <v>622000</v>
      </c>
      <c r="Q102">
        <v>622000</v>
      </c>
      <c r="S102" s="7">
        <f t="shared" si="13"/>
        <v>95</v>
      </c>
      <c r="T102" s="7">
        <v>20251231</v>
      </c>
    </row>
    <row r="103" spans="1:20" ht="15.6">
      <c r="A103" t="s">
        <v>248</v>
      </c>
      <c r="B103" t="s">
        <v>109</v>
      </c>
      <c r="C103" s="15">
        <v>2411.0100000000002</v>
      </c>
      <c r="D103">
        <v>20180101</v>
      </c>
      <c r="E103" t="s">
        <v>1</v>
      </c>
      <c r="F103">
        <v>20180101</v>
      </c>
      <c r="G103">
        <v>60</v>
      </c>
      <c r="H103" t="s">
        <v>2</v>
      </c>
      <c r="I103">
        <v>622000</v>
      </c>
      <c r="J103">
        <v>0</v>
      </c>
      <c r="K103">
        <v>1</v>
      </c>
      <c r="L103">
        <v>0</v>
      </c>
      <c r="M103">
        <v>0</v>
      </c>
      <c r="N103">
        <v>104</v>
      </c>
      <c r="O103">
        <f t="shared" si="12"/>
        <v>622000</v>
      </c>
      <c r="P103">
        <f t="shared" si="11"/>
        <v>622000</v>
      </c>
      <c r="Q103">
        <v>622000</v>
      </c>
      <c r="S103" s="7">
        <f t="shared" si="13"/>
        <v>95</v>
      </c>
      <c r="T103" s="7">
        <v>20251231</v>
      </c>
    </row>
    <row r="104" spans="1:20" ht="15.6">
      <c r="A104" t="s">
        <v>249</v>
      </c>
      <c r="B104" t="s">
        <v>109</v>
      </c>
      <c r="C104" s="15">
        <v>2411.0100000000002</v>
      </c>
      <c r="D104">
        <v>20180101</v>
      </c>
      <c r="E104" t="s">
        <v>1</v>
      </c>
      <c r="F104">
        <v>20180101</v>
      </c>
      <c r="G104">
        <v>60</v>
      </c>
      <c r="H104" t="s">
        <v>2</v>
      </c>
      <c r="I104">
        <v>622000</v>
      </c>
      <c r="J104">
        <v>0</v>
      </c>
      <c r="K104">
        <v>1</v>
      </c>
      <c r="L104">
        <v>0</v>
      </c>
      <c r="M104">
        <v>0</v>
      </c>
      <c r="N104">
        <v>104</v>
      </c>
      <c r="O104">
        <f t="shared" si="12"/>
        <v>622000</v>
      </c>
      <c r="P104">
        <f t="shared" si="11"/>
        <v>622000</v>
      </c>
      <c r="Q104">
        <v>622000</v>
      </c>
      <c r="S104" s="7">
        <f t="shared" si="13"/>
        <v>95</v>
      </c>
      <c r="T104" s="7">
        <v>20251231</v>
      </c>
    </row>
    <row r="105" spans="1:20" ht="15.6">
      <c r="A105" t="s">
        <v>250</v>
      </c>
      <c r="B105" t="s">
        <v>109</v>
      </c>
      <c r="C105" s="15">
        <v>2411.0100000000002</v>
      </c>
      <c r="D105">
        <v>20180101</v>
      </c>
      <c r="E105" t="s">
        <v>1</v>
      </c>
      <c r="F105">
        <v>20180101</v>
      </c>
      <c r="G105">
        <v>60</v>
      </c>
      <c r="H105" t="s">
        <v>2</v>
      </c>
      <c r="I105">
        <v>622000</v>
      </c>
      <c r="J105">
        <v>0</v>
      </c>
      <c r="K105">
        <v>1</v>
      </c>
      <c r="L105">
        <v>0</v>
      </c>
      <c r="M105">
        <v>0</v>
      </c>
      <c r="N105">
        <v>104</v>
      </c>
      <c r="O105">
        <f t="shared" si="12"/>
        <v>622000</v>
      </c>
      <c r="P105">
        <f t="shared" si="11"/>
        <v>622000</v>
      </c>
      <c r="Q105">
        <v>622000</v>
      </c>
      <c r="S105" s="7">
        <f t="shared" si="13"/>
        <v>95</v>
      </c>
      <c r="T105" s="7">
        <v>20251231</v>
      </c>
    </row>
    <row r="106" spans="1:20" ht="15.6">
      <c r="A106" t="s">
        <v>251</v>
      </c>
      <c r="B106" t="s">
        <v>109</v>
      </c>
      <c r="C106" s="15">
        <v>2411.0100000000002</v>
      </c>
      <c r="D106">
        <v>20180101</v>
      </c>
      <c r="E106" t="s">
        <v>1</v>
      </c>
      <c r="F106">
        <v>20180101</v>
      </c>
      <c r="G106">
        <v>60</v>
      </c>
      <c r="H106" t="s">
        <v>2</v>
      </c>
      <c r="I106">
        <v>622000</v>
      </c>
      <c r="J106">
        <v>0</v>
      </c>
      <c r="K106">
        <v>1</v>
      </c>
      <c r="L106">
        <v>0</v>
      </c>
      <c r="M106">
        <v>0</v>
      </c>
      <c r="N106">
        <v>104</v>
      </c>
      <c r="O106">
        <f t="shared" si="12"/>
        <v>622000</v>
      </c>
      <c r="P106">
        <f t="shared" si="11"/>
        <v>622000</v>
      </c>
      <c r="Q106">
        <v>622000</v>
      </c>
      <c r="S106" s="7">
        <f t="shared" si="13"/>
        <v>95</v>
      </c>
      <c r="T106" s="7">
        <v>20251231</v>
      </c>
    </row>
    <row r="107" spans="1:20" ht="15.6">
      <c r="A107" t="s">
        <v>252</v>
      </c>
      <c r="B107" t="s">
        <v>109</v>
      </c>
      <c r="C107" s="15">
        <v>2411.0100000000002</v>
      </c>
      <c r="D107">
        <v>20180101</v>
      </c>
      <c r="E107" t="s">
        <v>1</v>
      </c>
      <c r="F107">
        <v>20180101</v>
      </c>
      <c r="G107">
        <v>60</v>
      </c>
      <c r="H107" t="s">
        <v>2</v>
      </c>
      <c r="I107">
        <v>622000</v>
      </c>
      <c r="J107">
        <v>0</v>
      </c>
      <c r="K107">
        <v>1</v>
      </c>
      <c r="L107">
        <v>0</v>
      </c>
      <c r="M107">
        <v>0</v>
      </c>
      <c r="N107">
        <v>104</v>
      </c>
      <c r="O107">
        <f t="shared" si="12"/>
        <v>622000</v>
      </c>
      <c r="P107">
        <f t="shared" si="11"/>
        <v>622000</v>
      </c>
      <c r="Q107">
        <v>622000</v>
      </c>
      <c r="S107" s="7">
        <f t="shared" si="13"/>
        <v>95</v>
      </c>
      <c r="T107" s="7">
        <v>20251231</v>
      </c>
    </row>
    <row r="108" spans="1:20" ht="15.6">
      <c r="A108" t="s">
        <v>253</v>
      </c>
      <c r="B108" t="s">
        <v>109</v>
      </c>
      <c r="C108" s="15">
        <v>2411.0100000000002</v>
      </c>
      <c r="D108">
        <v>20180101</v>
      </c>
      <c r="E108" t="s">
        <v>1</v>
      </c>
      <c r="F108">
        <v>20180101</v>
      </c>
      <c r="G108">
        <v>60</v>
      </c>
      <c r="H108" t="s">
        <v>2</v>
      </c>
      <c r="I108">
        <v>622000</v>
      </c>
      <c r="J108">
        <v>0</v>
      </c>
      <c r="K108">
        <v>1</v>
      </c>
      <c r="L108">
        <v>0</v>
      </c>
      <c r="M108">
        <v>0</v>
      </c>
      <c r="N108">
        <v>104</v>
      </c>
      <c r="O108">
        <f t="shared" si="12"/>
        <v>622000</v>
      </c>
      <c r="P108">
        <f t="shared" si="11"/>
        <v>622000</v>
      </c>
      <c r="Q108">
        <v>622000</v>
      </c>
      <c r="S108" s="7">
        <f t="shared" si="13"/>
        <v>95</v>
      </c>
      <c r="T108" s="7">
        <v>20251231</v>
      </c>
    </row>
    <row r="109" spans="1:20" ht="15.6">
      <c r="A109" t="s">
        <v>254</v>
      </c>
      <c r="B109" t="s">
        <v>109</v>
      </c>
      <c r="C109" s="15">
        <v>2411.0100000000002</v>
      </c>
      <c r="D109">
        <v>20180101</v>
      </c>
      <c r="E109" t="s">
        <v>1</v>
      </c>
      <c r="F109">
        <v>20180101</v>
      </c>
      <c r="G109">
        <v>60</v>
      </c>
      <c r="H109" t="s">
        <v>2</v>
      </c>
      <c r="I109">
        <v>622000</v>
      </c>
      <c r="J109">
        <v>0</v>
      </c>
      <c r="K109">
        <v>1</v>
      </c>
      <c r="L109">
        <v>0</v>
      </c>
      <c r="M109">
        <v>0</v>
      </c>
      <c r="N109">
        <v>104</v>
      </c>
      <c r="O109">
        <f t="shared" si="12"/>
        <v>622000</v>
      </c>
      <c r="P109">
        <f t="shared" si="11"/>
        <v>622000</v>
      </c>
      <c r="Q109">
        <v>622000</v>
      </c>
      <c r="S109" s="7">
        <f t="shared" si="13"/>
        <v>95</v>
      </c>
      <c r="T109" s="7">
        <v>20251231</v>
      </c>
    </row>
    <row r="110" spans="1:20" ht="15.6">
      <c r="A110" t="s">
        <v>255</v>
      </c>
      <c r="B110" t="s">
        <v>109</v>
      </c>
      <c r="C110" s="15">
        <v>2411.0100000000002</v>
      </c>
      <c r="D110">
        <v>20180101</v>
      </c>
      <c r="E110" t="s">
        <v>1</v>
      </c>
      <c r="F110">
        <v>20180101</v>
      </c>
      <c r="G110">
        <v>60</v>
      </c>
      <c r="H110" t="s">
        <v>2</v>
      </c>
      <c r="I110">
        <v>622000</v>
      </c>
      <c r="J110">
        <v>0</v>
      </c>
      <c r="K110">
        <v>1</v>
      </c>
      <c r="L110">
        <v>0</v>
      </c>
      <c r="M110">
        <v>0</v>
      </c>
      <c r="N110">
        <v>104</v>
      </c>
      <c r="O110">
        <f t="shared" si="12"/>
        <v>622000</v>
      </c>
      <c r="P110">
        <f t="shared" si="11"/>
        <v>622000</v>
      </c>
      <c r="Q110">
        <v>622000</v>
      </c>
      <c r="S110" s="7">
        <f t="shared" si="13"/>
        <v>95</v>
      </c>
      <c r="T110" s="7">
        <v>20251231</v>
      </c>
    </row>
    <row r="111" spans="1:20" ht="15.6">
      <c r="A111" t="s">
        <v>256</v>
      </c>
      <c r="B111" t="s">
        <v>109</v>
      </c>
      <c r="C111" s="15">
        <v>2411.0100000000002</v>
      </c>
      <c r="D111">
        <v>20180101</v>
      </c>
      <c r="E111" t="s">
        <v>1</v>
      </c>
      <c r="F111">
        <v>20180101</v>
      </c>
      <c r="G111">
        <v>60</v>
      </c>
      <c r="H111" t="s">
        <v>2</v>
      </c>
      <c r="I111">
        <v>622000</v>
      </c>
      <c r="J111">
        <v>0</v>
      </c>
      <c r="K111">
        <v>1</v>
      </c>
      <c r="L111">
        <v>0</v>
      </c>
      <c r="M111">
        <v>0</v>
      </c>
      <c r="N111">
        <v>104</v>
      </c>
      <c r="O111">
        <f t="shared" si="12"/>
        <v>622000</v>
      </c>
      <c r="P111">
        <f t="shared" si="11"/>
        <v>622000</v>
      </c>
      <c r="Q111">
        <v>622000</v>
      </c>
      <c r="S111" s="7">
        <f t="shared" si="13"/>
        <v>95</v>
      </c>
      <c r="T111" s="7">
        <v>20251231</v>
      </c>
    </row>
    <row r="112" spans="1:20" ht="15.6">
      <c r="A112" t="s">
        <v>257</v>
      </c>
      <c r="B112" t="s">
        <v>109</v>
      </c>
      <c r="C112" s="15">
        <v>2411.0100000000002</v>
      </c>
      <c r="D112">
        <v>20180101</v>
      </c>
      <c r="E112" t="s">
        <v>1</v>
      </c>
      <c r="F112">
        <v>20180101</v>
      </c>
      <c r="G112">
        <v>60</v>
      </c>
      <c r="H112" t="s">
        <v>2</v>
      </c>
      <c r="I112">
        <v>622000</v>
      </c>
      <c r="J112">
        <v>0</v>
      </c>
      <c r="K112">
        <v>1</v>
      </c>
      <c r="L112">
        <v>0</v>
      </c>
      <c r="M112">
        <v>0</v>
      </c>
      <c r="N112">
        <v>104</v>
      </c>
      <c r="O112">
        <f t="shared" si="12"/>
        <v>622000</v>
      </c>
      <c r="P112">
        <f t="shared" si="11"/>
        <v>622000</v>
      </c>
      <c r="Q112">
        <v>622000</v>
      </c>
      <c r="S112" s="7">
        <f t="shared" si="13"/>
        <v>95</v>
      </c>
      <c r="T112" s="7">
        <v>20251231</v>
      </c>
    </row>
    <row r="113" spans="1:20" ht="15.6">
      <c r="A113" t="s">
        <v>258</v>
      </c>
      <c r="B113" t="s">
        <v>109</v>
      </c>
      <c r="C113" s="15">
        <v>2411.0100000000002</v>
      </c>
      <c r="D113">
        <v>20180101</v>
      </c>
      <c r="E113" t="s">
        <v>1</v>
      </c>
      <c r="F113">
        <v>20180101</v>
      </c>
      <c r="G113">
        <v>60</v>
      </c>
      <c r="H113" t="s">
        <v>2</v>
      </c>
      <c r="I113">
        <v>622000</v>
      </c>
      <c r="J113">
        <v>0</v>
      </c>
      <c r="K113">
        <v>1</v>
      </c>
      <c r="L113">
        <v>0</v>
      </c>
      <c r="M113">
        <v>0</v>
      </c>
      <c r="N113">
        <v>104</v>
      </c>
      <c r="O113">
        <f t="shared" si="12"/>
        <v>622000</v>
      </c>
      <c r="P113">
        <f t="shared" si="11"/>
        <v>622000</v>
      </c>
      <c r="Q113">
        <v>622000</v>
      </c>
      <c r="S113" s="7">
        <f t="shared" si="13"/>
        <v>95</v>
      </c>
      <c r="T113" s="7">
        <v>20251231</v>
      </c>
    </row>
    <row r="114" spans="1:20" ht="15.6">
      <c r="A114" t="s">
        <v>259</v>
      </c>
      <c r="B114" t="s">
        <v>109</v>
      </c>
      <c r="C114" s="15">
        <v>2411.0100000000002</v>
      </c>
      <c r="D114">
        <v>20180101</v>
      </c>
      <c r="E114" t="s">
        <v>1</v>
      </c>
      <c r="F114">
        <v>20180101</v>
      </c>
      <c r="G114">
        <v>60</v>
      </c>
      <c r="H114" t="s">
        <v>2</v>
      </c>
      <c r="I114">
        <v>622000</v>
      </c>
      <c r="J114">
        <v>0</v>
      </c>
      <c r="K114">
        <v>1</v>
      </c>
      <c r="L114">
        <v>0</v>
      </c>
      <c r="M114">
        <v>0</v>
      </c>
      <c r="N114">
        <v>104</v>
      </c>
      <c r="O114">
        <f t="shared" si="12"/>
        <v>622000</v>
      </c>
      <c r="P114">
        <f t="shared" si="11"/>
        <v>622000</v>
      </c>
      <c r="Q114">
        <v>622000</v>
      </c>
      <c r="S114" s="7">
        <f t="shared" si="13"/>
        <v>95</v>
      </c>
      <c r="T114" s="7">
        <v>20251231</v>
      </c>
    </row>
    <row r="115" spans="1:20" ht="15.6">
      <c r="A115" t="s">
        <v>260</v>
      </c>
      <c r="B115" t="s">
        <v>109</v>
      </c>
      <c r="C115" s="15">
        <v>2411.0100000000002</v>
      </c>
      <c r="D115">
        <v>20180101</v>
      </c>
      <c r="E115" t="s">
        <v>1</v>
      </c>
      <c r="F115">
        <v>20180101</v>
      </c>
      <c r="G115">
        <v>60</v>
      </c>
      <c r="H115" t="s">
        <v>2</v>
      </c>
      <c r="I115">
        <v>622000</v>
      </c>
      <c r="J115">
        <v>0</v>
      </c>
      <c r="K115">
        <v>1</v>
      </c>
      <c r="L115">
        <v>0</v>
      </c>
      <c r="M115">
        <v>0</v>
      </c>
      <c r="N115">
        <v>104</v>
      </c>
      <c r="O115">
        <f t="shared" si="12"/>
        <v>622000</v>
      </c>
      <c r="P115">
        <f t="shared" si="11"/>
        <v>622000</v>
      </c>
      <c r="Q115">
        <v>622000</v>
      </c>
      <c r="S115" s="7">
        <f t="shared" si="13"/>
        <v>95</v>
      </c>
      <c r="T115" s="7">
        <v>20251231</v>
      </c>
    </row>
    <row r="116" spans="1:20" ht="15.6">
      <c r="A116" t="s">
        <v>261</v>
      </c>
      <c r="B116" t="s">
        <v>109</v>
      </c>
      <c r="C116" s="15">
        <v>2411.0100000000002</v>
      </c>
      <c r="D116">
        <v>20180101</v>
      </c>
      <c r="E116" t="s">
        <v>1</v>
      </c>
      <c r="F116">
        <v>20180101</v>
      </c>
      <c r="G116">
        <v>60</v>
      </c>
      <c r="H116" t="s">
        <v>2</v>
      </c>
      <c r="I116">
        <v>622000</v>
      </c>
      <c r="J116">
        <v>0</v>
      </c>
      <c r="K116">
        <v>1</v>
      </c>
      <c r="L116">
        <v>0</v>
      </c>
      <c r="M116">
        <v>0</v>
      </c>
      <c r="N116">
        <v>104</v>
      </c>
      <c r="O116">
        <f t="shared" si="12"/>
        <v>622000</v>
      </c>
      <c r="P116">
        <f t="shared" si="11"/>
        <v>622000</v>
      </c>
      <c r="Q116">
        <v>622000</v>
      </c>
      <c r="S116" s="7">
        <f t="shared" si="13"/>
        <v>95</v>
      </c>
      <c r="T116" s="7">
        <v>20251231</v>
      </c>
    </row>
    <row r="117" spans="1:20" ht="15.6">
      <c r="A117" t="s">
        <v>262</v>
      </c>
      <c r="B117" t="s">
        <v>109</v>
      </c>
      <c r="C117" s="15">
        <v>2411.0100000000002</v>
      </c>
      <c r="D117">
        <v>20180101</v>
      </c>
      <c r="E117" t="s">
        <v>1</v>
      </c>
      <c r="F117">
        <v>20180101</v>
      </c>
      <c r="G117">
        <v>60</v>
      </c>
      <c r="H117" t="s">
        <v>2</v>
      </c>
      <c r="I117">
        <v>622000</v>
      </c>
      <c r="J117">
        <v>0</v>
      </c>
      <c r="K117">
        <v>1</v>
      </c>
      <c r="L117">
        <v>0</v>
      </c>
      <c r="M117">
        <v>0</v>
      </c>
      <c r="N117">
        <v>104</v>
      </c>
      <c r="O117">
        <f t="shared" si="12"/>
        <v>622000</v>
      </c>
      <c r="P117">
        <f t="shared" si="11"/>
        <v>622000</v>
      </c>
      <c r="Q117">
        <v>622000</v>
      </c>
      <c r="S117" s="7">
        <f t="shared" si="13"/>
        <v>95</v>
      </c>
      <c r="T117" s="7">
        <v>20251231</v>
      </c>
    </row>
    <row r="118" spans="1:20" ht="15.6">
      <c r="A118" t="s">
        <v>263</v>
      </c>
      <c r="B118" t="s">
        <v>109</v>
      </c>
      <c r="C118" s="15">
        <v>2411.0100000000002</v>
      </c>
      <c r="D118">
        <v>20180101</v>
      </c>
      <c r="E118" t="s">
        <v>1</v>
      </c>
      <c r="F118">
        <v>20180101</v>
      </c>
      <c r="G118">
        <v>60</v>
      </c>
      <c r="H118" t="s">
        <v>2</v>
      </c>
      <c r="I118">
        <v>622000</v>
      </c>
      <c r="J118">
        <v>0</v>
      </c>
      <c r="K118">
        <v>1</v>
      </c>
      <c r="L118">
        <v>0</v>
      </c>
      <c r="M118">
        <v>0</v>
      </c>
      <c r="N118">
        <v>104</v>
      </c>
      <c r="O118">
        <f t="shared" si="12"/>
        <v>622000</v>
      </c>
      <c r="P118">
        <f t="shared" si="11"/>
        <v>622000</v>
      </c>
      <c r="Q118">
        <v>622000</v>
      </c>
      <c r="S118" s="7">
        <f t="shared" si="13"/>
        <v>95</v>
      </c>
      <c r="T118" s="7">
        <v>20251231</v>
      </c>
    </row>
    <row r="119" spans="1:20" ht="15.6">
      <c r="A119" t="s">
        <v>264</v>
      </c>
      <c r="B119" t="s">
        <v>110</v>
      </c>
      <c r="C119" s="15">
        <v>2411.0100000000002</v>
      </c>
      <c r="D119">
        <v>20180101</v>
      </c>
      <c r="E119" t="s">
        <v>1</v>
      </c>
      <c r="F119">
        <v>20180101</v>
      </c>
      <c r="G119">
        <v>60</v>
      </c>
      <c r="H119" t="s">
        <v>2</v>
      </c>
      <c r="I119">
        <v>622000</v>
      </c>
      <c r="J119">
        <v>0</v>
      </c>
      <c r="K119">
        <v>1</v>
      </c>
      <c r="L119">
        <v>0</v>
      </c>
      <c r="M119">
        <v>0</v>
      </c>
      <c r="N119">
        <v>104</v>
      </c>
      <c r="O119">
        <f t="shared" si="12"/>
        <v>622000</v>
      </c>
      <c r="P119">
        <f t="shared" si="11"/>
        <v>622000</v>
      </c>
      <c r="Q119">
        <v>622000</v>
      </c>
      <c r="S119" s="7">
        <f t="shared" si="13"/>
        <v>95</v>
      </c>
      <c r="T119" s="7">
        <v>20251231</v>
      </c>
    </row>
    <row r="120" spans="1:20" ht="15.6">
      <c r="A120" t="s">
        <v>265</v>
      </c>
      <c r="B120" t="s">
        <v>110</v>
      </c>
      <c r="C120" s="15">
        <v>2411.0100000000002</v>
      </c>
      <c r="D120">
        <v>20180101</v>
      </c>
      <c r="E120" t="s">
        <v>1</v>
      </c>
      <c r="F120">
        <v>20180101</v>
      </c>
      <c r="G120">
        <v>60</v>
      </c>
      <c r="H120" t="s">
        <v>2</v>
      </c>
      <c r="I120">
        <v>622000</v>
      </c>
      <c r="J120">
        <v>0</v>
      </c>
      <c r="K120">
        <v>1</v>
      </c>
      <c r="L120">
        <v>0</v>
      </c>
      <c r="M120">
        <v>0</v>
      </c>
      <c r="N120">
        <v>104</v>
      </c>
      <c r="O120">
        <f t="shared" si="12"/>
        <v>622000</v>
      </c>
      <c r="P120">
        <f t="shared" si="11"/>
        <v>622000</v>
      </c>
      <c r="Q120">
        <v>622000</v>
      </c>
      <c r="S120" s="7">
        <f t="shared" si="13"/>
        <v>95</v>
      </c>
      <c r="T120" s="7">
        <v>20251231</v>
      </c>
    </row>
    <row r="121" spans="1:20" ht="15.6">
      <c r="A121" t="s">
        <v>266</v>
      </c>
      <c r="B121" t="s">
        <v>110</v>
      </c>
      <c r="C121" s="15">
        <v>2411.0100000000002</v>
      </c>
      <c r="D121">
        <v>20180101</v>
      </c>
      <c r="E121" t="s">
        <v>1</v>
      </c>
      <c r="F121">
        <v>20180101</v>
      </c>
      <c r="G121">
        <v>60</v>
      </c>
      <c r="H121" t="s">
        <v>2</v>
      </c>
      <c r="I121">
        <v>622000</v>
      </c>
      <c r="J121">
        <v>0</v>
      </c>
      <c r="K121">
        <v>1</v>
      </c>
      <c r="L121">
        <v>0</v>
      </c>
      <c r="M121">
        <v>0</v>
      </c>
      <c r="N121">
        <v>104</v>
      </c>
      <c r="O121">
        <f t="shared" si="12"/>
        <v>622000</v>
      </c>
      <c r="P121">
        <f t="shared" si="11"/>
        <v>622000</v>
      </c>
      <c r="Q121">
        <v>622000</v>
      </c>
      <c r="S121" s="7">
        <f t="shared" si="13"/>
        <v>95</v>
      </c>
      <c r="T121" s="7">
        <v>20251231</v>
      </c>
    </row>
    <row r="122" spans="1:20" ht="15.6">
      <c r="A122" t="s">
        <v>267</v>
      </c>
      <c r="B122" t="s">
        <v>110</v>
      </c>
      <c r="C122" s="15">
        <v>2411.0100000000002</v>
      </c>
      <c r="D122">
        <v>20180101</v>
      </c>
      <c r="E122" t="s">
        <v>1</v>
      </c>
      <c r="F122">
        <v>20180101</v>
      </c>
      <c r="G122">
        <v>60</v>
      </c>
      <c r="H122" t="s">
        <v>2</v>
      </c>
      <c r="I122">
        <v>622000</v>
      </c>
      <c r="J122">
        <v>0</v>
      </c>
      <c r="K122">
        <v>1</v>
      </c>
      <c r="L122">
        <v>0</v>
      </c>
      <c r="M122">
        <v>0</v>
      </c>
      <c r="N122">
        <v>104</v>
      </c>
      <c r="O122">
        <f t="shared" si="12"/>
        <v>622000</v>
      </c>
      <c r="P122">
        <f t="shared" si="11"/>
        <v>622000</v>
      </c>
      <c r="Q122">
        <v>622000</v>
      </c>
      <c r="S122" s="7">
        <f t="shared" si="13"/>
        <v>95</v>
      </c>
      <c r="T122" s="7">
        <v>20251231</v>
      </c>
    </row>
    <row r="123" spans="1:20" ht="15.6">
      <c r="A123" t="s">
        <v>268</v>
      </c>
      <c r="B123" t="s">
        <v>110</v>
      </c>
      <c r="C123" s="15">
        <v>2411.0100000000002</v>
      </c>
      <c r="D123">
        <v>20180101</v>
      </c>
      <c r="E123" t="s">
        <v>1</v>
      </c>
      <c r="F123">
        <v>20180101</v>
      </c>
      <c r="G123">
        <v>60</v>
      </c>
      <c r="H123" t="s">
        <v>2</v>
      </c>
      <c r="I123">
        <v>622000</v>
      </c>
      <c r="J123">
        <v>0</v>
      </c>
      <c r="K123">
        <v>1</v>
      </c>
      <c r="L123">
        <v>0</v>
      </c>
      <c r="M123">
        <v>0</v>
      </c>
      <c r="N123">
        <v>104</v>
      </c>
      <c r="O123">
        <f t="shared" si="12"/>
        <v>622000</v>
      </c>
      <c r="P123">
        <f t="shared" si="11"/>
        <v>622000</v>
      </c>
      <c r="Q123">
        <v>622000</v>
      </c>
      <c r="S123" s="7">
        <f t="shared" si="13"/>
        <v>95</v>
      </c>
      <c r="T123" s="7">
        <v>20251231</v>
      </c>
    </row>
    <row r="124" spans="1:20" ht="15.6">
      <c r="A124" t="s">
        <v>269</v>
      </c>
      <c r="B124" t="s">
        <v>110</v>
      </c>
      <c r="C124" s="15">
        <v>2411.0100000000002</v>
      </c>
      <c r="D124">
        <v>20180101</v>
      </c>
      <c r="E124" t="s">
        <v>1</v>
      </c>
      <c r="F124">
        <v>20180101</v>
      </c>
      <c r="G124">
        <v>60</v>
      </c>
      <c r="H124" t="s">
        <v>2</v>
      </c>
      <c r="I124">
        <v>622000</v>
      </c>
      <c r="J124">
        <v>0</v>
      </c>
      <c r="K124">
        <v>1</v>
      </c>
      <c r="L124">
        <v>0</v>
      </c>
      <c r="M124">
        <v>0</v>
      </c>
      <c r="N124">
        <v>104</v>
      </c>
      <c r="O124">
        <f t="shared" si="12"/>
        <v>622000</v>
      </c>
      <c r="P124">
        <f t="shared" si="11"/>
        <v>622000</v>
      </c>
      <c r="Q124">
        <v>622000</v>
      </c>
      <c r="S124" s="7">
        <f t="shared" si="13"/>
        <v>95</v>
      </c>
      <c r="T124" s="7">
        <v>20251231</v>
      </c>
    </row>
    <row r="125" spans="1:20" ht="15.6">
      <c r="A125" t="s">
        <v>270</v>
      </c>
      <c r="B125" t="s">
        <v>110</v>
      </c>
      <c r="C125" s="15">
        <v>2411.0100000000002</v>
      </c>
      <c r="D125">
        <v>20180101</v>
      </c>
      <c r="E125" t="s">
        <v>1</v>
      </c>
      <c r="F125">
        <v>20180101</v>
      </c>
      <c r="G125">
        <v>60</v>
      </c>
      <c r="H125" t="s">
        <v>2</v>
      </c>
      <c r="I125">
        <v>622000</v>
      </c>
      <c r="J125">
        <v>0</v>
      </c>
      <c r="K125">
        <v>1</v>
      </c>
      <c r="L125">
        <v>0</v>
      </c>
      <c r="M125">
        <v>0</v>
      </c>
      <c r="N125">
        <v>104</v>
      </c>
      <c r="O125">
        <f t="shared" si="12"/>
        <v>622000</v>
      </c>
      <c r="P125">
        <f t="shared" si="11"/>
        <v>622000</v>
      </c>
      <c r="Q125">
        <v>622000</v>
      </c>
      <c r="S125" s="7">
        <f t="shared" si="13"/>
        <v>95</v>
      </c>
      <c r="T125" s="7">
        <v>20251231</v>
      </c>
    </row>
    <row r="126" spans="1:20" ht="15.6">
      <c r="A126" t="s">
        <v>271</v>
      </c>
      <c r="B126" t="s">
        <v>110</v>
      </c>
      <c r="C126" s="15">
        <v>2411.0100000000002</v>
      </c>
      <c r="D126">
        <v>20180101</v>
      </c>
      <c r="E126" t="s">
        <v>1</v>
      </c>
      <c r="F126">
        <v>20180101</v>
      </c>
      <c r="G126">
        <v>60</v>
      </c>
      <c r="H126" t="s">
        <v>2</v>
      </c>
      <c r="I126">
        <v>622000</v>
      </c>
      <c r="J126">
        <v>0</v>
      </c>
      <c r="K126">
        <v>1</v>
      </c>
      <c r="L126">
        <v>0</v>
      </c>
      <c r="M126">
        <v>0</v>
      </c>
      <c r="N126">
        <v>104</v>
      </c>
      <c r="O126">
        <f t="shared" si="12"/>
        <v>622000</v>
      </c>
      <c r="P126">
        <f t="shared" si="11"/>
        <v>622000</v>
      </c>
      <c r="Q126">
        <v>622000</v>
      </c>
      <c r="S126" s="7">
        <f t="shared" si="13"/>
        <v>95</v>
      </c>
      <c r="T126" s="7">
        <v>20251231</v>
      </c>
    </row>
    <row r="127" spans="1:20" ht="15.6">
      <c r="A127" t="s">
        <v>272</v>
      </c>
      <c r="B127" t="s">
        <v>110</v>
      </c>
      <c r="C127" s="15">
        <v>2411.0100000000002</v>
      </c>
      <c r="D127">
        <v>20180101</v>
      </c>
      <c r="E127" t="s">
        <v>1</v>
      </c>
      <c r="F127">
        <v>20180101</v>
      </c>
      <c r="G127">
        <v>60</v>
      </c>
      <c r="H127" t="s">
        <v>2</v>
      </c>
      <c r="I127">
        <v>622000</v>
      </c>
      <c r="J127">
        <v>0</v>
      </c>
      <c r="K127">
        <v>1</v>
      </c>
      <c r="L127">
        <v>0</v>
      </c>
      <c r="M127">
        <v>0</v>
      </c>
      <c r="N127">
        <v>104</v>
      </c>
      <c r="O127">
        <f t="shared" si="12"/>
        <v>622000</v>
      </c>
      <c r="P127">
        <f t="shared" si="11"/>
        <v>622000</v>
      </c>
      <c r="Q127">
        <v>622000</v>
      </c>
      <c r="S127" s="7">
        <f t="shared" si="13"/>
        <v>95</v>
      </c>
      <c r="T127" s="7">
        <v>20251231</v>
      </c>
    </row>
    <row r="128" spans="1:20" ht="15.6">
      <c r="A128" t="s">
        <v>273</v>
      </c>
      <c r="B128" t="s">
        <v>111</v>
      </c>
      <c r="C128" s="15">
        <v>2411.0100000000002</v>
      </c>
      <c r="D128">
        <v>20180101</v>
      </c>
      <c r="E128" t="s">
        <v>1</v>
      </c>
      <c r="F128">
        <v>20180101</v>
      </c>
      <c r="G128">
        <v>60</v>
      </c>
      <c r="H128" t="s">
        <v>2</v>
      </c>
      <c r="I128">
        <v>14181600</v>
      </c>
      <c r="J128">
        <v>0</v>
      </c>
      <c r="K128">
        <v>1</v>
      </c>
      <c r="L128">
        <v>0</v>
      </c>
      <c r="M128">
        <v>0</v>
      </c>
      <c r="N128">
        <v>104</v>
      </c>
      <c r="O128">
        <f t="shared" si="12"/>
        <v>14181600</v>
      </c>
      <c r="P128">
        <f t="shared" si="11"/>
        <v>14181600</v>
      </c>
      <c r="Q128">
        <v>14181600</v>
      </c>
      <c r="S128" s="7">
        <f t="shared" si="13"/>
        <v>95</v>
      </c>
      <c r="T128" s="7">
        <v>20251231</v>
      </c>
    </row>
    <row r="129" spans="1:20" ht="15.6">
      <c r="A129" t="s">
        <v>274</v>
      </c>
      <c r="B129" t="s">
        <v>112</v>
      </c>
      <c r="C129" s="15">
        <v>2411.0100000000002</v>
      </c>
      <c r="D129">
        <v>20180101</v>
      </c>
      <c r="E129" t="s">
        <v>1</v>
      </c>
      <c r="F129">
        <v>20180101</v>
      </c>
      <c r="G129">
        <v>60</v>
      </c>
      <c r="H129" t="s">
        <v>2</v>
      </c>
      <c r="I129">
        <v>17727000</v>
      </c>
      <c r="J129">
        <v>0</v>
      </c>
      <c r="K129">
        <v>1</v>
      </c>
      <c r="L129">
        <v>0</v>
      </c>
      <c r="M129">
        <v>0</v>
      </c>
      <c r="N129">
        <v>104</v>
      </c>
      <c r="O129">
        <f t="shared" si="12"/>
        <v>17727000</v>
      </c>
      <c r="P129">
        <f t="shared" si="11"/>
        <v>17727000</v>
      </c>
      <c r="Q129">
        <v>17727000</v>
      </c>
      <c r="S129" s="7">
        <f t="shared" si="13"/>
        <v>95</v>
      </c>
      <c r="T129" s="7">
        <v>20251231</v>
      </c>
    </row>
    <row r="130" spans="1:20" ht="15.6">
      <c r="A130" t="s">
        <v>275</v>
      </c>
      <c r="B130" t="s">
        <v>113</v>
      </c>
      <c r="C130" s="15">
        <v>2411.0100000000002</v>
      </c>
      <c r="D130">
        <v>20180101</v>
      </c>
      <c r="E130" t="s">
        <v>1</v>
      </c>
      <c r="F130">
        <v>20180101</v>
      </c>
      <c r="G130">
        <v>60</v>
      </c>
      <c r="H130" t="s">
        <v>2</v>
      </c>
      <c r="I130">
        <v>562910</v>
      </c>
      <c r="J130">
        <v>0</v>
      </c>
      <c r="K130">
        <v>1</v>
      </c>
      <c r="L130">
        <v>0</v>
      </c>
      <c r="M130">
        <v>0</v>
      </c>
      <c r="N130">
        <v>104</v>
      </c>
      <c r="O130">
        <f t="shared" si="12"/>
        <v>562910</v>
      </c>
      <c r="P130">
        <f t="shared" si="11"/>
        <v>562910</v>
      </c>
      <c r="Q130">
        <v>562910</v>
      </c>
      <c r="S130" s="7">
        <f t="shared" ref="S130:S156" si="14">DATEDIF(DATE(LEFT(F130,4),MID(F130,5,2),MID(F130,7,2)), DATE(LEFT(T130,4),MID(T130,5,2),MID(T130,7,2)),"m")</f>
        <v>95</v>
      </c>
      <c r="T130" s="7">
        <v>20251231</v>
      </c>
    </row>
    <row r="131" spans="1:20" ht="15.6">
      <c r="A131" t="s">
        <v>276</v>
      </c>
      <c r="B131" t="s">
        <v>114</v>
      </c>
      <c r="C131" s="15">
        <v>2411.0100000000002</v>
      </c>
      <c r="D131">
        <v>20220405</v>
      </c>
      <c r="E131" t="s">
        <v>1</v>
      </c>
      <c r="F131">
        <v>20220405</v>
      </c>
      <c r="G131">
        <v>60</v>
      </c>
      <c r="H131" t="s">
        <v>2</v>
      </c>
      <c r="I131">
        <v>5744692.7999999998</v>
      </c>
      <c r="J131">
        <v>0</v>
      </c>
      <c r="K131">
        <v>1</v>
      </c>
      <c r="L131">
        <f>G131-S131</f>
        <v>16</v>
      </c>
      <c r="M131">
        <f t="shared" ref="M131:M137" si="15">L131-1</f>
        <v>15</v>
      </c>
      <c r="N131">
        <v>104</v>
      </c>
      <c r="O131">
        <v>4299863.2139999997</v>
      </c>
      <c r="P131">
        <f t="shared" ref="P131:P156" si="16">ROUND(O131, 2)</f>
        <v>4299863.21</v>
      </c>
      <c r="Q131">
        <v>5744692.7999999998</v>
      </c>
      <c r="S131" s="7">
        <f t="shared" si="14"/>
        <v>44</v>
      </c>
      <c r="T131" s="7">
        <v>20251231</v>
      </c>
    </row>
    <row r="132" spans="1:20" ht="15.6">
      <c r="A132" t="s">
        <v>277</v>
      </c>
      <c r="B132" t="s">
        <v>115</v>
      </c>
      <c r="C132" s="15">
        <v>2411.0100000000002</v>
      </c>
      <c r="D132">
        <v>20220615</v>
      </c>
      <c r="E132" t="s">
        <v>1</v>
      </c>
      <c r="F132">
        <v>20220615</v>
      </c>
      <c r="G132">
        <v>60</v>
      </c>
      <c r="H132" t="s">
        <v>2</v>
      </c>
      <c r="I132">
        <v>15308612.800000001</v>
      </c>
      <c r="J132">
        <v>0</v>
      </c>
      <c r="K132">
        <v>1</v>
      </c>
      <c r="L132">
        <f>G132-S132</f>
        <v>18</v>
      </c>
      <c r="M132">
        <f t="shared" si="15"/>
        <v>17</v>
      </c>
      <c r="N132">
        <v>104</v>
      </c>
      <c r="O132">
        <v>10862823.880000001</v>
      </c>
      <c r="P132">
        <f t="shared" si="16"/>
        <v>10862823.880000001</v>
      </c>
      <c r="Q132">
        <v>15308612.800000001</v>
      </c>
      <c r="S132" s="7">
        <f t="shared" si="14"/>
        <v>42</v>
      </c>
      <c r="T132" s="7">
        <v>20251231</v>
      </c>
    </row>
    <row r="133" spans="1:20" ht="15.6">
      <c r="A133" t="s">
        <v>278</v>
      </c>
      <c r="B133" t="s">
        <v>116</v>
      </c>
      <c r="C133" s="15">
        <v>2411.0100000000002</v>
      </c>
      <c r="D133">
        <v>20180101</v>
      </c>
      <c r="E133" t="s">
        <v>1</v>
      </c>
      <c r="F133">
        <v>20180101</v>
      </c>
      <c r="G133">
        <v>60</v>
      </c>
      <c r="H133" t="s">
        <v>2</v>
      </c>
      <c r="I133">
        <v>562910</v>
      </c>
      <c r="J133">
        <v>0</v>
      </c>
      <c r="K133">
        <v>1</v>
      </c>
      <c r="L133">
        <v>0</v>
      </c>
      <c r="M133">
        <v>0</v>
      </c>
      <c r="N133">
        <v>104</v>
      </c>
      <c r="O133">
        <f t="shared" ref="O133:O135" si="17">I133</f>
        <v>562910</v>
      </c>
      <c r="P133">
        <f t="shared" si="16"/>
        <v>562910</v>
      </c>
      <c r="Q133">
        <v>562910</v>
      </c>
      <c r="S133" s="7">
        <f t="shared" si="14"/>
        <v>95</v>
      </c>
      <c r="T133" s="7">
        <v>20251231</v>
      </c>
    </row>
    <row r="134" spans="1:20" ht="15.6">
      <c r="A134" t="s">
        <v>279</v>
      </c>
      <c r="B134" t="s">
        <v>117</v>
      </c>
      <c r="C134" s="15">
        <v>2411.0100000000002</v>
      </c>
      <c r="D134">
        <v>20180101</v>
      </c>
      <c r="E134" t="s">
        <v>1</v>
      </c>
      <c r="F134">
        <v>20180101</v>
      </c>
      <c r="G134">
        <v>60</v>
      </c>
      <c r="H134" t="s">
        <v>2</v>
      </c>
      <c r="I134">
        <v>1212900</v>
      </c>
      <c r="J134">
        <v>0</v>
      </c>
      <c r="K134">
        <v>1</v>
      </c>
      <c r="L134">
        <v>0</v>
      </c>
      <c r="M134">
        <v>0</v>
      </c>
      <c r="N134">
        <v>104</v>
      </c>
      <c r="O134">
        <f t="shared" si="17"/>
        <v>1212900</v>
      </c>
      <c r="P134">
        <f t="shared" si="16"/>
        <v>1212900</v>
      </c>
      <c r="Q134">
        <v>1212900</v>
      </c>
      <c r="S134" s="7">
        <f t="shared" si="14"/>
        <v>95</v>
      </c>
      <c r="T134" s="7">
        <v>20251231</v>
      </c>
    </row>
    <row r="135" spans="1:20" ht="15.6">
      <c r="A135" t="s">
        <v>280</v>
      </c>
      <c r="B135" t="s">
        <v>118</v>
      </c>
      <c r="C135" s="15">
        <v>2411.0100000000002</v>
      </c>
      <c r="D135">
        <v>20180101</v>
      </c>
      <c r="E135" t="s">
        <v>1</v>
      </c>
      <c r="F135">
        <v>20180101</v>
      </c>
      <c r="G135">
        <v>60</v>
      </c>
      <c r="H135" t="s">
        <v>2</v>
      </c>
      <c r="I135">
        <v>1769590</v>
      </c>
      <c r="J135">
        <v>0</v>
      </c>
      <c r="K135">
        <v>1</v>
      </c>
      <c r="L135">
        <v>0</v>
      </c>
      <c r="M135">
        <v>0</v>
      </c>
      <c r="N135">
        <v>104</v>
      </c>
      <c r="O135">
        <f t="shared" si="17"/>
        <v>1769590</v>
      </c>
      <c r="P135">
        <f t="shared" si="16"/>
        <v>1769590</v>
      </c>
      <c r="Q135">
        <v>1769590</v>
      </c>
      <c r="S135" s="7">
        <f t="shared" si="14"/>
        <v>95</v>
      </c>
      <c r="T135" s="7">
        <v>20251231</v>
      </c>
    </row>
    <row r="136" spans="1:20" ht="15.6">
      <c r="A136" t="s">
        <v>281</v>
      </c>
      <c r="B136" t="s">
        <v>119</v>
      </c>
      <c r="C136" s="15">
        <v>2411.0100000000002</v>
      </c>
      <c r="D136">
        <v>20250825</v>
      </c>
      <c r="E136" t="s">
        <v>1</v>
      </c>
      <c r="F136">
        <v>20250825</v>
      </c>
      <c r="G136">
        <v>60</v>
      </c>
      <c r="H136" t="s">
        <v>2</v>
      </c>
      <c r="I136">
        <v>3692150</v>
      </c>
      <c r="J136">
        <v>0</v>
      </c>
      <c r="K136">
        <v>1</v>
      </c>
      <c r="L136">
        <f>G136-S136</f>
        <v>56</v>
      </c>
      <c r="M136">
        <f t="shared" si="15"/>
        <v>55</v>
      </c>
      <c r="N136">
        <v>104</v>
      </c>
      <c r="O136">
        <v>258956.274</v>
      </c>
      <c r="P136">
        <f t="shared" si="16"/>
        <v>258956.27</v>
      </c>
      <c r="Q136">
        <v>3692150</v>
      </c>
      <c r="R136" t="s">
        <v>120</v>
      </c>
      <c r="S136" s="7">
        <f t="shared" si="14"/>
        <v>4</v>
      </c>
      <c r="T136" s="7">
        <v>20251231</v>
      </c>
    </row>
    <row r="137" spans="1:20" ht="15.6">
      <c r="A137" t="s">
        <v>282</v>
      </c>
      <c r="B137" t="s">
        <v>119</v>
      </c>
      <c r="C137" s="15">
        <v>2411.0100000000002</v>
      </c>
      <c r="D137">
        <v>20250825</v>
      </c>
      <c r="E137" t="s">
        <v>1</v>
      </c>
      <c r="F137">
        <v>20250825</v>
      </c>
      <c r="G137">
        <v>60</v>
      </c>
      <c r="H137" t="s">
        <v>2</v>
      </c>
      <c r="I137">
        <v>3692150</v>
      </c>
      <c r="J137">
        <v>0</v>
      </c>
      <c r="K137">
        <v>1</v>
      </c>
      <c r="L137">
        <f>G137-S137</f>
        <v>56</v>
      </c>
      <c r="M137">
        <f t="shared" si="15"/>
        <v>55</v>
      </c>
      <c r="N137">
        <v>104</v>
      </c>
      <c r="O137">
        <v>258956.274</v>
      </c>
      <c r="P137">
        <f t="shared" si="16"/>
        <v>258956.27</v>
      </c>
      <c r="Q137">
        <v>3692150</v>
      </c>
      <c r="R137" t="s">
        <v>121</v>
      </c>
      <c r="S137" s="7">
        <f t="shared" si="14"/>
        <v>4</v>
      </c>
      <c r="T137" s="7">
        <v>20251231</v>
      </c>
    </row>
    <row r="138" spans="1:20" ht="15.6">
      <c r="A138" t="s">
        <v>283</v>
      </c>
      <c r="B138" t="s">
        <v>122</v>
      </c>
      <c r="C138" s="15">
        <v>2411.0100000000002</v>
      </c>
      <c r="D138">
        <v>20180101</v>
      </c>
      <c r="E138" t="s">
        <v>1</v>
      </c>
      <c r="F138">
        <v>20180101</v>
      </c>
      <c r="G138">
        <v>60</v>
      </c>
      <c r="H138" t="s">
        <v>2</v>
      </c>
      <c r="I138">
        <v>1492800</v>
      </c>
      <c r="J138">
        <v>0</v>
      </c>
      <c r="K138">
        <v>1</v>
      </c>
      <c r="L138">
        <v>0</v>
      </c>
      <c r="M138">
        <v>0</v>
      </c>
      <c r="N138">
        <v>104</v>
      </c>
      <c r="O138">
        <f t="shared" ref="O138:O156" si="18">I138</f>
        <v>1492800</v>
      </c>
      <c r="P138">
        <f t="shared" si="16"/>
        <v>1492800</v>
      </c>
      <c r="Q138">
        <v>1492800</v>
      </c>
      <c r="S138" s="7">
        <f t="shared" si="14"/>
        <v>95</v>
      </c>
      <c r="T138" s="7">
        <v>20251231</v>
      </c>
    </row>
    <row r="139" spans="1:20" ht="15.6">
      <c r="A139" t="s">
        <v>284</v>
      </c>
      <c r="B139" t="s">
        <v>123</v>
      </c>
      <c r="C139" s="15">
        <v>2411.0100000000002</v>
      </c>
      <c r="D139">
        <v>20180101</v>
      </c>
      <c r="E139" t="s">
        <v>1</v>
      </c>
      <c r="F139">
        <v>20180101</v>
      </c>
      <c r="G139">
        <v>60</v>
      </c>
      <c r="H139" t="s">
        <v>2</v>
      </c>
      <c r="I139">
        <v>1492800</v>
      </c>
      <c r="J139">
        <v>0</v>
      </c>
      <c r="K139">
        <v>1</v>
      </c>
      <c r="L139">
        <v>0</v>
      </c>
      <c r="M139">
        <v>0</v>
      </c>
      <c r="N139">
        <v>104</v>
      </c>
      <c r="O139">
        <f t="shared" si="18"/>
        <v>1492800</v>
      </c>
      <c r="P139">
        <f t="shared" si="16"/>
        <v>1492800</v>
      </c>
      <c r="Q139">
        <v>1492800</v>
      </c>
      <c r="S139" s="7">
        <f t="shared" si="14"/>
        <v>95</v>
      </c>
      <c r="T139" s="7">
        <v>20251231</v>
      </c>
    </row>
    <row r="140" spans="1:20" ht="15.6">
      <c r="A140" t="s">
        <v>285</v>
      </c>
      <c r="B140" t="s">
        <v>124</v>
      </c>
      <c r="C140" s="15">
        <v>2411.0100000000002</v>
      </c>
      <c r="D140">
        <v>20180101</v>
      </c>
      <c r="E140" t="s">
        <v>1</v>
      </c>
      <c r="F140">
        <v>20180101</v>
      </c>
      <c r="G140">
        <v>60</v>
      </c>
      <c r="H140" t="s">
        <v>2</v>
      </c>
      <c r="I140">
        <v>1150700</v>
      </c>
      <c r="J140">
        <v>0</v>
      </c>
      <c r="K140">
        <v>1</v>
      </c>
      <c r="L140">
        <v>0</v>
      </c>
      <c r="M140">
        <v>0</v>
      </c>
      <c r="N140">
        <v>104</v>
      </c>
      <c r="O140">
        <f t="shared" si="18"/>
        <v>1150700</v>
      </c>
      <c r="P140">
        <f t="shared" si="16"/>
        <v>1150700</v>
      </c>
      <c r="Q140">
        <v>1150700</v>
      </c>
      <c r="S140" s="7">
        <f t="shared" si="14"/>
        <v>95</v>
      </c>
      <c r="T140" s="7">
        <v>20251231</v>
      </c>
    </row>
    <row r="141" spans="1:20" ht="15.6">
      <c r="A141" t="s">
        <v>286</v>
      </c>
      <c r="B141" t="s">
        <v>125</v>
      </c>
      <c r="C141" s="15">
        <v>2411.0100000000002</v>
      </c>
      <c r="D141">
        <v>20180101</v>
      </c>
      <c r="E141" t="s">
        <v>1</v>
      </c>
      <c r="F141">
        <v>20180101</v>
      </c>
      <c r="G141">
        <v>60</v>
      </c>
      <c r="H141" t="s">
        <v>2</v>
      </c>
      <c r="I141">
        <v>1492800</v>
      </c>
      <c r="J141">
        <v>0</v>
      </c>
      <c r="K141">
        <v>1</v>
      </c>
      <c r="L141">
        <v>0</v>
      </c>
      <c r="M141">
        <v>0</v>
      </c>
      <c r="N141">
        <v>104</v>
      </c>
      <c r="O141">
        <f t="shared" si="18"/>
        <v>1492800</v>
      </c>
      <c r="P141">
        <f t="shared" si="16"/>
        <v>1492800</v>
      </c>
      <c r="Q141">
        <v>1492800</v>
      </c>
      <c r="S141" s="7">
        <f t="shared" si="14"/>
        <v>95</v>
      </c>
      <c r="T141" s="7">
        <v>20251231</v>
      </c>
    </row>
    <row r="142" spans="1:20" ht="15.6">
      <c r="A142" t="s">
        <v>287</v>
      </c>
      <c r="B142" t="s">
        <v>125</v>
      </c>
      <c r="C142" s="15">
        <v>2411.0100000000002</v>
      </c>
      <c r="D142">
        <v>20180101</v>
      </c>
      <c r="E142" t="s">
        <v>1</v>
      </c>
      <c r="F142">
        <v>20180101</v>
      </c>
      <c r="G142">
        <v>60</v>
      </c>
      <c r="H142" t="s">
        <v>2</v>
      </c>
      <c r="I142">
        <v>1492800</v>
      </c>
      <c r="J142">
        <v>0</v>
      </c>
      <c r="K142">
        <v>1</v>
      </c>
      <c r="L142">
        <v>0</v>
      </c>
      <c r="M142">
        <v>0</v>
      </c>
      <c r="N142">
        <v>104</v>
      </c>
      <c r="O142">
        <f t="shared" si="18"/>
        <v>1492800</v>
      </c>
      <c r="P142">
        <f t="shared" si="16"/>
        <v>1492800</v>
      </c>
      <c r="Q142">
        <v>1492800</v>
      </c>
      <c r="S142" s="7">
        <f t="shared" si="14"/>
        <v>95</v>
      </c>
      <c r="T142" s="7">
        <v>20251231</v>
      </c>
    </row>
    <row r="143" spans="1:20" ht="15.6">
      <c r="A143" t="s">
        <v>288</v>
      </c>
      <c r="B143" t="s">
        <v>125</v>
      </c>
      <c r="C143" s="15">
        <v>2411.0100000000002</v>
      </c>
      <c r="D143">
        <v>20180101</v>
      </c>
      <c r="E143" t="s">
        <v>1</v>
      </c>
      <c r="F143">
        <v>20180101</v>
      </c>
      <c r="G143">
        <v>60</v>
      </c>
      <c r="H143" t="s">
        <v>2</v>
      </c>
      <c r="I143">
        <v>1492800</v>
      </c>
      <c r="J143">
        <v>0</v>
      </c>
      <c r="K143">
        <v>1</v>
      </c>
      <c r="L143">
        <v>0</v>
      </c>
      <c r="M143">
        <v>0</v>
      </c>
      <c r="N143">
        <v>104</v>
      </c>
      <c r="O143">
        <f t="shared" si="18"/>
        <v>1492800</v>
      </c>
      <c r="P143">
        <f t="shared" si="16"/>
        <v>1492800</v>
      </c>
      <c r="Q143">
        <v>1492800</v>
      </c>
      <c r="S143" s="7">
        <f t="shared" si="14"/>
        <v>95</v>
      </c>
      <c r="T143" s="7">
        <v>20251231</v>
      </c>
    </row>
    <row r="144" spans="1:20" ht="15.6">
      <c r="A144" t="s">
        <v>289</v>
      </c>
      <c r="B144" t="s">
        <v>125</v>
      </c>
      <c r="C144" s="15">
        <v>2411.0100000000002</v>
      </c>
      <c r="D144">
        <v>20180101</v>
      </c>
      <c r="E144" t="s">
        <v>1</v>
      </c>
      <c r="F144">
        <v>20180101</v>
      </c>
      <c r="G144">
        <v>60</v>
      </c>
      <c r="H144" t="s">
        <v>2</v>
      </c>
      <c r="I144">
        <v>1492800</v>
      </c>
      <c r="J144">
        <v>0</v>
      </c>
      <c r="K144">
        <v>1</v>
      </c>
      <c r="L144">
        <v>0</v>
      </c>
      <c r="M144">
        <v>0</v>
      </c>
      <c r="N144">
        <v>104</v>
      </c>
      <c r="O144">
        <f t="shared" si="18"/>
        <v>1492800</v>
      </c>
      <c r="P144">
        <f t="shared" si="16"/>
        <v>1492800</v>
      </c>
      <c r="Q144">
        <v>1492800</v>
      </c>
      <c r="S144" s="7">
        <f t="shared" si="14"/>
        <v>95</v>
      </c>
      <c r="T144" s="7">
        <v>20251231</v>
      </c>
    </row>
    <row r="145" spans="1:20" ht="15.6">
      <c r="A145" t="s">
        <v>290</v>
      </c>
      <c r="B145" t="s">
        <v>125</v>
      </c>
      <c r="C145" s="15">
        <v>2411.0100000000002</v>
      </c>
      <c r="D145">
        <v>20180101</v>
      </c>
      <c r="E145" t="s">
        <v>1</v>
      </c>
      <c r="F145">
        <v>20180101</v>
      </c>
      <c r="G145">
        <v>60</v>
      </c>
      <c r="H145" t="s">
        <v>2</v>
      </c>
      <c r="I145">
        <v>1492800</v>
      </c>
      <c r="J145">
        <v>0</v>
      </c>
      <c r="K145">
        <v>1</v>
      </c>
      <c r="L145">
        <v>0</v>
      </c>
      <c r="M145">
        <v>0</v>
      </c>
      <c r="N145">
        <v>104</v>
      </c>
      <c r="O145">
        <f t="shared" si="18"/>
        <v>1492800</v>
      </c>
      <c r="P145">
        <f t="shared" si="16"/>
        <v>1492800</v>
      </c>
      <c r="Q145">
        <v>1492800</v>
      </c>
      <c r="S145" s="7">
        <f t="shared" si="14"/>
        <v>95</v>
      </c>
      <c r="T145" s="7">
        <v>20251231</v>
      </c>
    </row>
    <row r="146" spans="1:20" ht="15.6">
      <c r="A146" t="s">
        <v>291</v>
      </c>
      <c r="B146" t="s">
        <v>125</v>
      </c>
      <c r="C146" s="15">
        <v>2411.0100000000002</v>
      </c>
      <c r="D146">
        <v>20180101</v>
      </c>
      <c r="E146" t="s">
        <v>1</v>
      </c>
      <c r="F146">
        <v>20180101</v>
      </c>
      <c r="G146">
        <v>60</v>
      </c>
      <c r="H146" t="s">
        <v>2</v>
      </c>
      <c r="I146">
        <v>1492800</v>
      </c>
      <c r="J146">
        <v>0</v>
      </c>
      <c r="K146">
        <v>1</v>
      </c>
      <c r="L146">
        <v>0</v>
      </c>
      <c r="M146">
        <v>0</v>
      </c>
      <c r="N146">
        <v>104</v>
      </c>
      <c r="O146">
        <f t="shared" si="18"/>
        <v>1492800</v>
      </c>
      <c r="P146">
        <f t="shared" si="16"/>
        <v>1492800</v>
      </c>
      <c r="Q146">
        <v>1492800</v>
      </c>
      <c r="S146" s="7">
        <f t="shared" si="14"/>
        <v>95</v>
      </c>
      <c r="T146" s="7">
        <v>20251231</v>
      </c>
    </row>
    <row r="147" spans="1:20" ht="15.6">
      <c r="A147" t="s">
        <v>292</v>
      </c>
      <c r="B147" t="s">
        <v>125</v>
      </c>
      <c r="C147" s="15">
        <v>2411.0100000000002</v>
      </c>
      <c r="D147">
        <v>20180101</v>
      </c>
      <c r="E147" t="s">
        <v>1</v>
      </c>
      <c r="F147">
        <v>20180101</v>
      </c>
      <c r="G147">
        <v>60</v>
      </c>
      <c r="H147" t="s">
        <v>2</v>
      </c>
      <c r="I147">
        <v>1492800</v>
      </c>
      <c r="J147">
        <v>0</v>
      </c>
      <c r="K147">
        <v>1</v>
      </c>
      <c r="L147">
        <v>0</v>
      </c>
      <c r="M147">
        <v>0</v>
      </c>
      <c r="N147">
        <v>104</v>
      </c>
      <c r="O147">
        <f t="shared" si="18"/>
        <v>1492800</v>
      </c>
      <c r="P147">
        <f t="shared" si="16"/>
        <v>1492800</v>
      </c>
      <c r="Q147">
        <v>1492800</v>
      </c>
      <c r="S147" s="7">
        <f t="shared" si="14"/>
        <v>95</v>
      </c>
      <c r="T147" s="7">
        <v>20251231</v>
      </c>
    </row>
    <row r="148" spans="1:20" ht="15.6">
      <c r="A148" t="s">
        <v>293</v>
      </c>
      <c r="B148" t="s">
        <v>125</v>
      </c>
      <c r="C148" s="15">
        <v>2411.0100000000002</v>
      </c>
      <c r="D148">
        <v>20180101</v>
      </c>
      <c r="E148" t="s">
        <v>1</v>
      </c>
      <c r="F148">
        <v>20180101</v>
      </c>
      <c r="G148">
        <v>60</v>
      </c>
      <c r="H148" t="s">
        <v>2</v>
      </c>
      <c r="I148">
        <v>1492800</v>
      </c>
      <c r="J148">
        <v>0</v>
      </c>
      <c r="K148">
        <v>1</v>
      </c>
      <c r="L148">
        <v>0</v>
      </c>
      <c r="M148">
        <v>0</v>
      </c>
      <c r="N148">
        <v>104</v>
      </c>
      <c r="O148">
        <f t="shared" si="18"/>
        <v>1492800</v>
      </c>
      <c r="P148">
        <f t="shared" si="16"/>
        <v>1492800</v>
      </c>
      <c r="Q148">
        <v>1492800</v>
      </c>
      <c r="S148" s="7">
        <f t="shared" si="14"/>
        <v>95</v>
      </c>
      <c r="T148" s="7">
        <v>20251231</v>
      </c>
    </row>
    <row r="149" spans="1:20" ht="15.6">
      <c r="A149" t="s">
        <v>294</v>
      </c>
      <c r="B149" t="s">
        <v>125</v>
      </c>
      <c r="C149" s="15">
        <v>2411.0100000000002</v>
      </c>
      <c r="D149">
        <v>20180101</v>
      </c>
      <c r="E149" t="s">
        <v>1</v>
      </c>
      <c r="F149">
        <v>20180101</v>
      </c>
      <c r="G149">
        <v>60</v>
      </c>
      <c r="H149" t="s">
        <v>2</v>
      </c>
      <c r="I149">
        <v>1492800</v>
      </c>
      <c r="J149">
        <v>0</v>
      </c>
      <c r="K149">
        <v>1</v>
      </c>
      <c r="L149">
        <v>0</v>
      </c>
      <c r="M149">
        <v>0</v>
      </c>
      <c r="N149">
        <v>104</v>
      </c>
      <c r="O149">
        <f t="shared" si="18"/>
        <v>1492800</v>
      </c>
      <c r="P149">
        <f t="shared" si="16"/>
        <v>1492800</v>
      </c>
      <c r="Q149">
        <v>1492800</v>
      </c>
      <c r="S149" s="7">
        <f t="shared" si="14"/>
        <v>95</v>
      </c>
      <c r="T149" s="7">
        <v>20251231</v>
      </c>
    </row>
    <row r="150" spans="1:20" ht="15.6">
      <c r="A150" t="s">
        <v>295</v>
      </c>
      <c r="B150" t="s">
        <v>126</v>
      </c>
      <c r="C150" s="15">
        <v>2411.0100000000002</v>
      </c>
      <c r="D150">
        <v>20180101</v>
      </c>
      <c r="E150" t="s">
        <v>1</v>
      </c>
      <c r="F150">
        <v>20180101</v>
      </c>
      <c r="G150">
        <v>60</v>
      </c>
      <c r="H150" t="s">
        <v>2</v>
      </c>
      <c r="I150">
        <v>1492800</v>
      </c>
      <c r="J150">
        <v>0</v>
      </c>
      <c r="K150">
        <v>1</v>
      </c>
      <c r="L150">
        <v>0</v>
      </c>
      <c r="M150">
        <v>0</v>
      </c>
      <c r="N150">
        <v>104</v>
      </c>
      <c r="O150">
        <f t="shared" si="18"/>
        <v>1492800</v>
      </c>
      <c r="P150">
        <f t="shared" si="16"/>
        <v>1492800</v>
      </c>
      <c r="Q150">
        <v>1492800</v>
      </c>
      <c r="S150" s="7">
        <f t="shared" si="14"/>
        <v>95</v>
      </c>
      <c r="T150" s="7">
        <v>20251231</v>
      </c>
    </row>
    <row r="151" spans="1:20" ht="15.6">
      <c r="A151" t="s">
        <v>296</v>
      </c>
      <c r="B151" t="s">
        <v>126</v>
      </c>
      <c r="C151" s="15">
        <v>2411.0100000000002</v>
      </c>
      <c r="D151">
        <v>20180101</v>
      </c>
      <c r="E151" t="s">
        <v>1</v>
      </c>
      <c r="F151">
        <v>20180101</v>
      </c>
      <c r="G151">
        <v>60</v>
      </c>
      <c r="H151" t="s">
        <v>2</v>
      </c>
      <c r="I151">
        <v>1492800</v>
      </c>
      <c r="J151">
        <v>0</v>
      </c>
      <c r="K151">
        <v>1</v>
      </c>
      <c r="L151">
        <v>0</v>
      </c>
      <c r="M151">
        <v>0</v>
      </c>
      <c r="N151">
        <v>104</v>
      </c>
      <c r="O151">
        <f t="shared" si="18"/>
        <v>1492800</v>
      </c>
      <c r="P151">
        <f t="shared" si="16"/>
        <v>1492800</v>
      </c>
      <c r="Q151">
        <v>1492800</v>
      </c>
      <c r="S151" s="7">
        <f t="shared" si="14"/>
        <v>95</v>
      </c>
      <c r="T151" s="7">
        <v>20251231</v>
      </c>
    </row>
    <row r="152" spans="1:20" ht="15.6">
      <c r="A152" t="s">
        <v>297</v>
      </c>
      <c r="B152" t="s">
        <v>127</v>
      </c>
      <c r="C152" s="15">
        <v>2411.0100000000002</v>
      </c>
      <c r="D152">
        <v>20180101</v>
      </c>
      <c r="E152" t="s">
        <v>1</v>
      </c>
      <c r="F152">
        <v>20180101</v>
      </c>
      <c r="G152">
        <v>60</v>
      </c>
      <c r="H152" t="s">
        <v>2</v>
      </c>
      <c r="I152">
        <v>1769590</v>
      </c>
      <c r="J152">
        <v>0</v>
      </c>
      <c r="K152">
        <v>1</v>
      </c>
      <c r="L152">
        <v>0</v>
      </c>
      <c r="M152">
        <v>0</v>
      </c>
      <c r="N152">
        <v>104</v>
      </c>
      <c r="O152">
        <f t="shared" si="18"/>
        <v>1769590</v>
      </c>
      <c r="P152">
        <f t="shared" si="16"/>
        <v>1769590</v>
      </c>
      <c r="Q152">
        <v>1769590</v>
      </c>
      <c r="S152" s="7">
        <f t="shared" si="14"/>
        <v>95</v>
      </c>
      <c r="T152" s="7">
        <v>20251231</v>
      </c>
    </row>
    <row r="153" spans="1:20" ht="15.6">
      <c r="A153" t="s">
        <v>298</v>
      </c>
      <c r="B153" t="s">
        <v>127</v>
      </c>
      <c r="C153" s="15">
        <v>2411.0100000000002</v>
      </c>
      <c r="D153">
        <v>20180101</v>
      </c>
      <c r="E153" t="s">
        <v>1</v>
      </c>
      <c r="F153">
        <v>20180101</v>
      </c>
      <c r="G153">
        <v>60</v>
      </c>
      <c r="H153" t="s">
        <v>2</v>
      </c>
      <c r="I153">
        <v>1769590</v>
      </c>
      <c r="J153">
        <v>0</v>
      </c>
      <c r="K153">
        <v>1</v>
      </c>
      <c r="L153">
        <v>0</v>
      </c>
      <c r="M153">
        <v>0</v>
      </c>
      <c r="N153">
        <v>104</v>
      </c>
      <c r="O153">
        <f t="shared" si="18"/>
        <v>1769590</v>
      </c>
      <c r="P153">
        <f t="shared" si="16"/>
        <v>1769590</v>
      </c>
      <c r="Q153">
        <v>1769590</v>
      </c>
      <c r="S153" s="7">
        <f t="shared" si="14"/>
        <v>95</v>
      </c>
      <c r="T153" s="7">
        <v>20251231</v>
      </c>
    </row>
    <row r="154" spans="1:20" ht="15.6">
      <c r="A154" t="s">
        <v>299</v>
      </c>
      <c r="B154" t="s">
        <v>128</v>
      </c>
      <c r="C154" s="15">
        <v>2411.0100000000002</v>
      </c>
      <c r="D154">
        <v>20180101</v>
      </c>
      <c r="E154" t="s">
        <v>1</v>
      </c>
      <c r="F154">
        <v>20180101</v>
      </c>
      <c r="G154">
        <v>60</v>
      </c>
      <c r="H154" t="s">
        <v>2</v>
      </c>
      <c r="I154">
        <v>1212900</v>
      </c>
      <c r="J154">
        <v>0</v>
      </c>
      <c r="K154">
        <v>1</v>
      </c>
      <c r="L154">
        <v>0</v>
      </c>
      <c r="M154">
        <v>0</v>
      </c>
      <c r="N154">
        <v>104</v>
      </c>
      <c r="O154">
        <f t="shared" si="18"/>
        <v>1212900</v>
      </c>
      <c r="P154">
        <f t="shared" si="16"/>
        <v>1212900</v>
      </c>
      <c r="Q154">
        <v>1212900</v>
      </c>
      <c r="S154" s="7">
        <f t="shared" si="14"/>
        <v>95</v>
      </c>
      <c r="T154" s="7">
        <v>20251231</v>
      </c>
    </row>
    <row r="155" spans="1:20" ht="15.6">
      <c r="A155" t="s">
        <v>300</v>
      </c>
      <c r="B155" t="s">
        <v>129</v>
      </c>
      <c r="C155" s="15">
        <v>2411.0100000000002</v>
      </c>
      <c r="D155">
        <v>20180101</v>
      </c>
      <c r="E155" t="s">
        <v>1</v>
      </c>
      <c r="F155">
        <v>20180101</v>
      </c>
      <c r="G155">
        <v>60</v>
      </c>
      <c r="H155" t="s">
        <v>2</v>
      </c>
      <c r="I155">
        <v>1212900</v>
      </c>
      <c r="J155">
        <v>0</v>
      </c>
      <c r="K155">
        <v>1</v>
      </c>
      <c r="L155">
        <v>0</v>
      </c>
      <c r="M155">
        <v>0</v>
      </c>
      <c r="N155">
        <v>104</v>
      </c>
      <c r="O155">
        <f t="shared" si="18"/>
        <v>1212900</v>
      </c>
      <c r="P155">
        <f t="shared" si="16"/>
        <v>1212900</v>
      </c>
      <c r="Q155">
        <v>1212900</v>
      </c>
      <c r="S155" s="7">
        <f t="shared" si="14"/>
        <v>95</v>
      </c>
      <c r="T155" s="7">
        <v>20251231</v>
      </c>
    </row>
    <row r="156" spans="1:20" ht="15.6">
      <c r="A156" t="s">
        <v>301</v>
      </c>
      <c r="B156" t="s">
        <v>130</v>
      </c>
      <c r="C156" s="15">
        <v>2411.0100000000002</v>
      </c>
      <c r="D156">
        <v>20180101</v>
      </c>
      <c r="E156" t="s">
        <v>1</v>
      </c>
      <c r="F156">
        <v>20180101</v>
      </c>
      <c r="G156">
        <v>60</v>
      </c>
      <c r="H156" t="s">
        <v>2</v>
      </c>
      <c r="I156">
        <v>1212900</v>
      </c>
      <c r="J156">
        <v>0</v>
      </c>
      <c r="K156">
        <v>1</v>
      </c>
      <c r="L156">
        <v>0</v>
      </c>
      <c r="M156">
        <v>0</v>
      </c>
      <c r="N156">
        <v>104</v>
      </c>
      <c r="O156">
        <f t="shared" si="18"/>
        <v>1212900</v>
      </c>
      <c r="P156">
        <f t="shared" si="16"/>
        <v>1212900</v>
      </c>
      <c r="Q156">
        <v>1212900</v>
      </c>
      <c r="S156" s="7">
        <f t="shared" si="14"/>
        <v>95</v>
      </c>
      <c r="T156" s="7">
        <v>20251231</v>
      </c>
    </row>
  </sheetData>
  <autoFilter ref="A1:T156" xr:uid="{DC152247-5865-44A1-88F3-6543601D545F}"/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DB4F-B93E-4122-9A51-08865425AAFD}">
  <dimension ref="A1:R95"/>
  <sheetViews>
    <sheetView tabSelected="1" topLeftCell="B1" zoomScale="80" zoomScaleNormal="80" workbookViewId="0">
      <selection activeCell="P2" sqref="P2"/>
    </sheetView>
  </sheetViews>
  <sheetFormatPr defaultRowHeight="13.8"/>
  <cols>
    <col min="1" max="1" width="7.69921875" bestFit="1" customWidth="1"/>
    <col min="2" max="2" width="39.19921875" bestFit="1" customWidth="1"/>
    <col min="3" max="3" width="12.5" bestFit="1" customWidth="1"/>
    <col min="4" max="4" width="8.19921875" bestFit="1" customWidth="1"/>
    <col min="5" max="5" width="15.09765625" bestFit="1" customWidth="1"/>
    <col min="6" max="6" width="19.296875" bestFit="1" customWidth="1"/>
    <col min="7" max="7" width="9.296875" bestFit="1" customWidth="1"/>
    <col min="8" max="8" width="15.3984375" bestFit="1" customWidth="1"/>
    <col min="9" max="9" width="13.8984375" bestFit="1" customWidth="1"/>
    <col min="10" max="10" width="12" bestFit="1" customWidth="1"/>
    <col min="11" max="11" width="12.296875" bestFit="1" customWidth="1"/>
    <col min="12" max="12" width="12.5" bestFit="1" customWidth="1"/>
    <col min="13" max="13" width="9.796875" bestFit="1" customWidth="1"/>
    <col min="14" max="14" width="23.19921875" bestFit="1" customWidth="1"/>
    <col min="15" max="15" width="11.296875" bestFit="1" customWidth="1"/>
    <col min="16" max="16" width="5" bestFit="1" customWidth="1"/>
    <col min="17" max="17" width="4.5" bestFit="1" customWidth="1"/>
    <col min="18" max="18" width="10.09765625" bestFit="1" customWidth="1"/>
  </cols>
  <sheetData>
    <row r="1" spans="1:18" s="10" customFormat="1" ht="15.6">
      <c r="A1" s="1" t="s">
        <v>131</v>
      </c>
      <c r="B1" s="1" t="s">
        <v>132</v>
      </c>
      <c r="C1" s="1" t="s">
        <v>133</v>
      </c>
      <c r="D1" s="8" t="s">
        <v>134</v>
      </c>
      <c r="E1" s="1" t="s">
        <v>135</v>
      </c>
      <c r="F1" s="1" t="s">
        <v>136</v>
      </c>
      <c r="G1" s="3" t="s">
        <v>137</v>
      </c>
      <c r="H1" s="1" t="s">
        <v>138</v>
      </c>
      <c r="I1" s="4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5" t="s">
        <v>144</v>
      </c>
      <c r="O1" s="6" t="s">
        <v>145</v>
      </c>
      <c r="P1" s="9" t="s">
        <v>146</v>
      </c>
    </row>
    <row r="2" spans="1:18" ht="18.600000000000001">
      <c r="A2" t="s">
        <v>341</v>
      </c>
      <c r="B2" s="11" t="s">
        <v>302</v>
      </c>
      <c r="C2" t="s">
        <v>436</v>
      </c>
      <c r="D2" t="s">
        <v>437</v>
      </c>
      <c r="E2" t="s">
        <v>1</v>
      </c>
      <c r="F2" t="s">
        <v>437</v>
      </c>
      <c r="G2">
        <v>120</v>
      </c>
      <c r="H2" t="s">
        <v>2</v>
      </c>
      <c r="I2" s="13">
        <v>14783184.95437872</v>
      </c>
      <c r="J2">
        <v>0</v>
      </c>
      <c r="K2">
        <v>1</v>
      </c>
      <c r="L2">
        <v>0</v>
      </c>
      <c r="M2">
        <v>104</v>
      </c>
      <c r="N2" s="16">
        <f>I2</f>
        <v>14783184.95437872</v>
      </c>
      <c r="O2" s="16">
        <f>I2</f>
        <v>14783184.95437872</v>
      </c>
      <c r="Q2" s="7">
        <f t="shared" ref="Q2:Q33" si="0">DATEDIF(DATE(LEFT(F2,4),MID(F2,5,2),MID(F2,7,2)), DATE(LEFT(R2,4),MID(R2,5,2),MID(R2,7,2)),"m")</f>
        <v>193</v>
      </c>
      <c r="R2" s="7">
        <v>20251231</v>
      </c>
    </row>
    <row r="3" spans="1:18" ht="18.600000000000001">
      <c r="A3" t="s">
        <v>342</v>
      </c>
      <c r="B3" s="11" t="s">
        <v>302</v>
      </c>
      <c r="C3" t="s">
        <v>436</v>
      </c>
      <c r="D3" t="s">
        <v>437</v>
      </c>
      <c r="E3" t="s">
        <v>1</v>
      </c>
      <c r="F3" t="s">
        <v>437</v>
      </c>
      <c r="G3">
        <v>120</v>
      </c>
      <c r="H3" t="s">
        <v>2</v>
      </c>
      <c r="I3" s="13">
        <v>14783184.95437872</v>
      </c>
      <c r="J3">
        <v>0</v>
      </c>
      <c r="K3">
        <v>1</v>
      </c>
      <c r="L3">
        <v>0</v>
      </c>
      <c r="M3">
        <v>104</v>
      </c>
      <c r="N3" s="16">
        <f t="shared" ref="N3:N66" si="1">I3</f>
        <v>14783184.95437872</v>
      </c>
      <c r="O3" s="16">
        <f t="shared" ref="O3:O66" si="2">I3</f>
        <v>14783184.95437872</v>
      </c>
      <c r="Q3" s="7">
        <f t="shared" si="0"/>
        <v>193</v>
      </c>
      <c r="R3" s="7">
        <v>20251231</v>
      </c>
    </row>
    <row r="4" spans="1:18" ht="18.600000000000001">
      <c r="A4" t="s">
        <v>343</v>
      </c>
      <c r="B4" s="11" t="s">
        <v>302</v>
      </c>
      <c r="C4" t="s">
        <v>436</v>
      </c>
      <c r="D4" t="s">
        <v>437</v>
      </c>
      <c r="E4" t="s">
        <v>1</v>
      </c>
      <c r="F4" t="s">
        <v>437</v>
      </c>
      <c r="G4">
        <v>120</v>
      </c>
      <c r="H4" t="s">
        <v>2</v>
      </c>
      <c r="I4" s="13">
        <v>14783184.95437872</v>
      </c>
      <c r="J4">
        <v>0</v>
      </c>
      <c r="K4">
        <v>1</v>
      </c>
      <c r="L4">
        <v>0</v>
      </c>
      <c r="M4">
        <v>104</v>
      </c>
      <c r="N4" s="16">
        <f t="shared" si="1"/>
        <v>14783184.95437872</v>
      </c>
      <c r="O4" s="16">
        <f t="shared" si="2"/>
        <v>14783184.95437872</v>
      </c>
      <c r="Q4" s="7">
        <f t="shared" si="0"/>
        <v>193</v>
      </c>
      <c r="R4" s="7">
        <v>20251231</v>
      </c>
    </row>
    <row r="5" spans="1:18" ht="18.600000000000001">
      <c r="A5" t="s">
        <v>344</v>
      </c>
      <c r="B5" s="11" t="s">
        <v>303</v>
      </c>
      <c r="C5" t="s">
        <v>436</v>
      </c>
      <c r="D5" t="s">
        <v>437</v>
      </c>
      <c r="E5" t="s">
        <v>1</v>
      </c>
      <c r="F5" t="s">
        <v>437</v>
      </c>
      <c r="G5">
        <v>120</v>
      </c>
      <c r="H5" t="s">
        <v>2</v>
      </c>
      <c r="I5" s="13">
        <v>5277687.2230104003</v>
      </c>
      <c r="J5">
        <v>0</v>
      </c>
      <c r="K5">
        <v>1</v>
      </c>
      <c r="L5">
        <v>0</v>
      </c>
      <c r="M5">
        <v>104</v>
      </c>
      <c r="N5" s="16">
        <f t="shared" si="1"/>
        <v>5277687.2230104003</v>
      </c>
      <c r="O5" s="16">
        <f t="shared" si="2"/>
        <v>5277687.2230104003</v>
      </c>
      <c r="Q5" s="7">
        <f t="shared" si="0"/>
        <v>193</v>
      </c>
      <c r="R5" s="7">
        <v>20251231</v>
      </c>
    </row>
    <row r="6" spans="1:18" ht="18.600000000000001">
      <c r="A6" t="s">
        <v>345</v>
      </c>
      <c r="B6" s="11" t="s">
        <v>303</v>
      </c>
      <c r="C6" t="s">
        <v>436</v>
      </c>
      <c r="D6" t="s">
        <v>437</v>
      </c>
      <c r="E6" t="s">
        <v>1</v>
      </c>
      <c r="F6" t="s">
        <v>437</v>
      </c>
      <c r="G6">
        <v>120</v>
      </c>
      <c r="H6" t="s">
        <v>2</v>
      </c>
      <c r="I6" s="13">
        <v>5277687.2230104003</v>
      </c>
      <c r="J6">
        <v>0</v>
      </c>
      <c r="K6">
        <v>1</v>
      </c>
      <c r="L6">
        <v>0</v>
      </c>
      <c r="M6">
        <v>104</v>
      </c>
      <c r="N6" s="16">
        <f t="shared" si="1"/>
        <v>5277687.2230104003</v>
      </c>
      <c r="O6" s="16">
        <f t="shared" si="2"/>
        <v>5277687.2230104003</v>
      </c>
      <c r="Q6" s="7">
        <f t="shared" si="0"/>
        <v>193</v>
      </c>
      <c r="R6" s="7">
        <v>20251231</v>
      </c>
    </row>
    <row r="7" spans="1:18" ht="18.600000000000001">
      <c r="A7" t="s">
        <v>346</v>
      </c>
      <c r="B7" s="11" t="s">
        <v>303</v>
      </c>
      <c r="C7" t="s">
        <v>436</v>
      </c>
      <c r="D7" t="s">
        <v>437</v>
      </c>
      <c r="E7" t="s">
        <v>1</v>
      </c>
      <c r="F7" t="s">
        <v>437</v>
      </c>
      <c r="G7">
        <v>120</v>
      </c>
      <c r="H7" t="s">
        <v>2</v>
      </c>
      <c r="I7" s="13">
        <v>5277687.2230104003</v>
      </c>
      <c r="J7">
        <v>0</v>
      </c>
      <c r="K7">
        <v>1</v>
      </c>
      <c r="L7">
        <v>0</v>
      </c>
      <c r="M7">
        <v>104</v>
      </c>
      <c r="N7" s="16">
        <f t="shared" si="1"/>
        <v>5277687.2230104003</v>
      </c>
      <c r="O7" s="16">
        <f t="shared" si="2"/>
        <v>5277687.2230104003</v>
      </c>
      <c r="Q7" s="7">
        <f t="shared" si="0"/>
        <v>193</v>
      </c>
      <c r="R7" s="7">
        <v>20251231</v>
      </c>
    </row>
    <row r="8" spans="1:18" ht="18.600000000000001">
      <c r="A8" t="s">
        <v>347</v>
      </c>
      <c r="B8" s="11" t="s">
        <v>304</v>
      </c>
      <c r="C8" t="s">
        <v>436</v>
      </c>
      <c r="D8" t="s">
        <v>437</v>
      </c>
      <c r="E8" t="s">
        <v>1</v>
      </c>
      <c r="F8" t="s">
        <v>437</v>
      </c>
      <c r="G8">
        <v>120</v>
      </c>
      <c r="H8" t="s">
        <v>2</v>
      </c>
      <c r="I8" s="13">
        <v>3473046.5150779202</v>
      </c>
      <c r="J8">
        <v>0</v>
      </c>
      <c r="K8">
        <v>1</v>
      </c>
      <c r="L8">
        <v>0</v>
      </c>
      <c r="M8">
        <v>104</v>
      </c>
      <c r="N8" s="16">
        <f t="shared" si="1"/>
        <v>3473046.5150779202</v>
      </c>
      <c r="O8" s="16">
        <f t="shared" si="2"/>
        <v>3473046.5150779202</v>
      </c>
      <c r="Q8" s="7">
        <f t="shared" si="0"/>
        <v>193</v>
      </c>
      <c r="R8" s="7">
        <v>20251231</v>
      </c>
    </row>
    <row r="9" spans="1:18" ht="18.600000000000001">
      <c r="A9" t="s">
        <v>348</v>
      </c>
      <c r="B9" s="11" t="s">
        <v>304</v>
      </c>
      <c r="C9" t="s">
        <v>436</v>
      </c>
      <c r="D9" t="s">
        <v>437</v>
      </c>
      <c r="E9" t="s">
        <v>1</v>
      </c>
      <c r="F9" t="s">
        <v>437</v>
      </c>
      <c r="G9">
        <v>120</v>
      </c>
      <c r="H9" t="s">
        <v>2</v>
      </c>
      <c r="I9" s="13">
        <v>3473046.5150779202</v>
      </c>
      <c r="J9">
        <v>0</v>
      </c>
      <c r="K9">
        <v>1</v>
      </c>
      <c r="L9">
        <v>0</v>
      </c>
      <c r="M9">
        <v>104</v>
      </c>
      <c r="N9" s="16">
        <f t="shared" si="1"/>
        <v>3473046.5150779202</v>
      </c>
      <c r="O9" s="16">
        <f t="shared" si="2"/>
        <v>3473046.5150779202</v>
      </c>
      <c r="Q9" s="7">
        <f t="shared" si="0"/>
        <v>193</v>
      </c>
      <c r="R9" s="7">
        <v>20251231</v>
      </c>
    </row>
    <row r="10" spans="1:18" ht="18.600000000000001">
      <c r="A10" t="s">
        <v>349</v>
      </c>
      <c r="B10" s="11" t="s">
        <v>304</v>
      </c>
      <c r="C10" t="s">
        <v>436</v>
      </c>
      <c r="D10" t="s">
        <v>437</v>
      </c>
      <c r="E10" t="s">
        <v>1</v>
      </c>
      <c r="F10" t="s">
        <v>437</v>
      </c>
      <c r="G10">
        <v>120</v>
      </c>
      <c r="H10" t="s">
        <v>2</v>
      </c>
      <c r="I10" s="13">
        <v>3473046.5150779202</v>
      </c>
      <c r="J10">
        <v>0</v>
      </c>
      <c r="K10">
        <v>1</v>
      </c>
      <c r="L10">
        <v>0</v>
      </c>
      <c r="M10">
        <v>104</v>
      </c>
      <c r="N10" s="16">
        <f t="shared" si="1"/>
        <v>3473046.5150779202</v>
      </c>
      <c r="O10" s="16">
        <f t="shared" si="2"/>
        <v>3473046.5150779202</v>
      </c>
      <c r="Q10" s="7">
        <f t="shared" si="0"/>
        <v>193</v>
      </c>
      <c r="R10" s="7">
        <v>20251231</v>
      </c>
    </row>
    <row r="11" spans="1:18" ht="18.600000000000001">
      <c r="A11" t="s">
        <v>350</v>
      </c>
      <c r="B11" s="11" t="s">
        <v>305</v>
      </c>
      <c r="C11" t="s">
        <v>436</v>
      </c>
      <c r="D11" t="s">
        <v>437</v>
      </c>
      <c r="E11" t="s">
        <v>1</v>
      </c>
      <c r="F11" t="s">
        <v>437</v>
      </c>
      <c r="G11">
        <v>120</v>
      </c>
      <c r="H11" t="s">
        <v>2</v>
      </c>
      <c r="I11" s="13">
        <v>3631924.3356633596</v>
      </c>
      <c r="J11">
        <v>0</v>
      </c>
      <c r="K11">
        <v>1</v>
      </c>
      <c r="L11">
        <v>0</v>
      </c>
      <c r="M11">
        <v>104</v>
      </c>
      <c r="N11" s="16">
        <f t="shared" si="1"/>
        <v>3631924.3356633596</v>
      </c>
      <c r="O11" s="16">
        <f t="shared" si="2"/>
        <v>3631924.3356633596</v>
      </c>
      <c r="Q11" s="7">
        <f t="shared" si="0"/>
        <v>193</v>
      </c>
      <c r="R11" s="7">
        <v>20251231</v>
      </c>
    </row>
    <row r="12" spans="1:18" ht="18.600000000000001">
      <c r="A12" t="s">
        <v>351</v>
      </c>
      <c r="B12" s="11" t="s">
        <v>305</v>
      </c>
      <c r="C12" t="s">
        <v>436</v>
      </c>
      <c r="D12" t="s">
        <v>437</v>
      </c>
      <c r="E12" t="s">
        <v>1</v>
      </c>
      <c r="F12" t="s">
        <v>437</v>
      </c>
      <c r="G12">
        <v>120</v>
      </c>
      <c r="H12" t="s">
        <v>2</v>
      </c>
      <c r="I12" s="13">
        <v>3631924.3356633596</v>
      </c>
      <c r="J12">
        <v>0</v>
      </c>
      <c r="K12">
        <v>1</v>
      </c>
      <c r="L12">
        <v>0</v>
      </c>
      <c r="M12">
        <v>104</v>
      </c>
      <c r="N12" s="16">
        <f t="shared" si="1"/>
        <v>3631924.3356633596</v>
      </c>
      <c r="O12" s="16">
        <f t="shared" si="2"/>
        <v>3631924.3356633596</v>
      </c>
      <c r="Q12" s="7">
        <f t="shared" si="0"/>
        <v>193</v>
      </c>
      <c r="R12" s="7">
        <v>20251231</v>
      </c>
    </row>
    <row r="13" spans="1:18" ht="18.600000000000001">
      <c r="A13" t="s">
        <v>352</v>
      </c>
      <c r="B13" s="11" t="s">
        <v>305</v>
      </c>
      <c r="C13" t="s">
        <v>436</v>
      </c>
      <c r="D13" t="s">
        <v>437</v>
      </c>
      <c r="E13" t="s">
        <v>1</v>
      </c>
      <c r="F13" t="s">
        <v>437</v>
      </c>
      <c r="G13">
        <v>120</v>
      </c>
      <c r="H13" t="s">
        <v>2</v>
      </c>
      <c r="I13" s="13">
        <v>3631924.3356633596</v>
      </c>
      <c r="J13">
        <v>0</v>
      </c>
      <c r="K13">
        <v>1</v>
      </c>
      <c r="L13">
        <v>0</v>
      </c>
      <c r="M13">
        <v>104</v>
      </c>
      <c r="N13" s="16">
        <f t="shared" si="1"/>
        <v>3631924.3356633596</v>
      </c>
      <c r="O13" s="16">
        <f t="shared" si="2"/>
        <v>3631924.3356633596</v>
      </c>
      <c r="Q13" s="7">
        <f t="shared" si="0"/>
        <v>193</v>
      </c>
      <c r="R13" s="7">
        <v>20251231</v>
      </c>
    </row>
    <row r="14" spans="1:18" ht="18.600000000000001">
      <c r="A14" t="s">
        <v>353</v>
      </c>
      <c r="B14" s="11" t="s">
        <v>305</v>
      </c>
      <c r="C14" t="s">
        <v>436</v>
      </c>
      <c r="D14" t="s">
        <v>437</v>
      </c>
      <c r="E14" t="s">
        <v>1</v>
      </c>
      <c r="F14" t="s">
        <v>437</v>
      </c>
      <c r="G14">
        <v>120</v>
      </c>
      <c r="H14" t="s">
        <v>2</v>
      </c>
      <c r="I14" s="13">
        <v>3631924.3356633596</v>
      </c>
      <c r="J14">
        <v>0</v>
      </c>
      <c r="K14">
        <v>1</v>
      </c>
      <c r="L14">
        <v>0</v>
      </c>
      <c r="M14">
        <v>104</v>
      </c>
      <c r="N14" s="16">
        <f t="shared" si="1"/>
        <v>3631924.3356633596</v>
      </c>
      <c r="O14" s="16">
        <f t="shared" si="2"/>
        <v>3631924.3356633596</v>
      </c>
      <c r="Q14" s="7">
        <f t="shared" si="0"/>
        <v>193</v>
      </c>
      <c r="R14" s="7">
        <v>20251231</v>
      </c>
    </row>
    <row r="15" spans="1:18" ht="18.600000000000001">
      <c r="A15" t="s">
        <v>354</v>
      </c>
      <c r="B15" s="11" t="s">
        <v>305</v>
      </c>
      <c r="C15" t="s">
        <v>436</v>
      </c>
      <c r="D15" t="s">
        <v>437</v>
      </c>
      <c r="E15" t="s">
        <v>1</v>
      </c>
      <c r="F15" t="s">
        <v>437</v>
      </c>
      <c r="G15">
        <v>120</v>
      </c>
      <c r="H15" t="s">
        <v>2</v>
      </c>
      <c r="I15" s="13">
        <v>3631924.3356633596</v>
      </c>
      <c r="J15">
        <v>0</v>
      </c>
      <c r="K15">
        <v>1</v>
      </c>
      <c r="L15">
        <v>0</v>
      </c>
      <c r="M15">
        <v>104</v>
      </c>
      <c r="N15" s="16">
        <f t="shared" si="1"/>
        <v>3631924.3356633596</v>
      </c>
      <c r="O15" s="16">
        <f t="shared" si="2"/>
        <v>3631924.3356633596</v>
      </c>
      <c r="Q15" s="7">
        <f t="shared" si="0"/>
        <v>193</v>
      </c>
      <c r="R15" s="7">
        <v>20251231</v>
      </c>
    </row>
    <row r="16" spans="1:18" ht="18.600000000000001">
      <c r="A16" t="s">
        <v>355</v>
      </c>
      <c r="B16" s="11" t="s">
        <v>305</v>
      </c>
      <c r="C16" t="s">
        <v>436</v>
      </c>
      <c r="D16" t="s">
        <v>437</v>
      </c>
      <c r="E16" t="s">
        <v>1</v>
      </c>
      <c r="F16" t="s">
        <v>437</v>
      </c>
      <c r="G16">
        <v>120</v>
      </c>
      <c r="H16" t="s">
        <v>2</v>
      </c>
      <c r="I16" s="13">
        <v>3631924.3356633596</v>
      </c>
      <c r="J16">
        <v>0</v>
      </c>
      <c r="K16">
        <v>1</v>
      </c>
      <c r="L16">
        <v>0</v>
      </c>
      <c r="M16">
        <v>104</v>
      </c>
      <c r="N16" s="16">
        <f t="shared" si="1"/>
        <v>3631924.3356633596</v>
      </c>
      <c r="O16" s="16">
        <f t="shared" si="2"/>
        <v>3631924.3356633596</v>
      </c>
      <c r="Q16" s="7">
        <f t="shared" si="0"/>
        <v>193</v>
      </c>
      <c r="R16" s="7">
        <v>20251231</v>
      </c>
    </row>
    <row r="17" spans="1:18" ht="18.600000000000001">
      <c r="A17" t="s">
        <v>356</v>
      </c>
      <c r="B17" s="11" t="s">
        <v>306</v>
      </c>
      <c r="C17" t="s">
        <v>436</v>
      </c>
      <c r="D17" t="s">
        <v>437</v>
      </c>
      <c r="E17" t="s">
        <v>1</v>
      </c>
      <c r="F17" t="s">
        <v>437</v>
      </c>
      <c r="G17">
        <v>120</v>
      </c>
      <c r="H17" t="s">
        <v>2</v>
      </c>
      <c r="I17" s="13">
        <v>10878790.81714128</v>
      </c>
      <c r="J17">
        <v>0</v>
      </c>
      <c r="K17">
        <v>1</v>
      </c>
      <c r="L17">
        <v>0</v>
      </c>
      <c r="M17">
        <v>104</v>
      </c>
      <c r="N17" s="16">
        <f t="shared" si="1"/>
        <v>10878790.81714128</v>
      </c>
      <c r="O17" s="16">
        <f t="shared" si="2"/>
        <v>10878790.81714128</v>
      </c>
      <c r="Q17" s="7">
        <f t="shared" si="0"/>
        <v>193</v>
      </c>
      <c r="R17" s="7">
        <v>20251231</v>
      </c>
    </row>
    <row r="18" spans="1:18" ht="18.600000000000001">
      <c r="A18" t="s">
        <v>357</v>
      </c>
      <c r="B18" s="11" t="s">
        <v>306</v>
      </c>
      <c r="C18" t="s">
        <v>436</v>
      </c>
      <c r="D18" t="s">
        <v>437</v>
      </c>
      <c r="E18" t="s">
        <v>1</v>
      </c>
      <c r="F18" t="s">
        <v>437</v>
      </c>
      <c r="G18">
        <v>120</v>
      </c>
      <c r="H18" t="s">
        <v>2</v>
      </c>
      <c r="I18" s="13">
        <v>10878790.81714128</v>
      </c>
      <c r="J18">
        <v>0</v>
      </c>
      <c r="K18">
        <v>1</v>
      </c>
      <c r="L18">
        <v>0</v>
      </c>
      <c r="M18">
        <v>104</v>
      </c>
      <c r="N18" s="16">
        <f t="shared" si="1"/>
        <v>10878790.81714128</v>
      </c>
      <c r="O18" s="16">
        <f t="shared" si="2"/>
        <v>10878790.81714128</v>
      </c>
      <c r="Q18" s="7">
        <f t="shared" si="0"/>
        <v>193</v>
      </c>
      <c r="R18" s="7">
        <v>20251231</v>
      </c>
    </row>
    <row r="19" spans="1:18" ht="18.600000000000001">
      <c r="A19" t="s">
        <v>358</v>
      </c>
      <c r="B19" s="11" t="s">
        <v>307</v>
      </c>
      <c r="C19" t="s">
        <v>436</v>
      </c>
      <c r="D19" t="s">
        <v>437</v>
      </c>
      <c r="E19" t="s">
        <v>1</v>
      </c>
      <c r="F19" t="s">
        <v>437</v>
      </c>
      <c r="G19">
        <v>120</v>
      </c>
      <c r="H19" t="s">
        <v>2</v>
      </c>
      <c r="I19" s="13">
        <v>3200576.7135038404</v>
      </c>
      <c r="J19">
        <v>0</v>
      </c>
      <c r="K19">
        <v>1</v>
      </c>
      <c r="L19">
        <v>0</v>
      </c>
      <c r="M19">
        <v>104</v>
      </c>
      <c r="N19" s="16">
        <f t="shared" si="1"/>
        <v>3200576.7135038404</v>
      </c>
      <c r="O19" s="16">
        <f t="shared" si="2"/>
        <v>3200576.7135038404</v>
      </c>
      <c r="Q19" s="7">
        <f t="shared" si="0"/>
        <v>193</v>
      </c>
      <c r="R19" s="7">
        <v>20251231</v>
      </c>
    </row>
    <row r="20" spans="1:18" ht="18.600000000000001">
      <c r="A20" t="s">
        <v>359</v>
      </c>
      <c r="B20" s="11" t="s">
        <v>307</v>
      </c>
      <c r="C20" t="s">
        <v>436</v>
      </c>
      <c r="D20" t="s">
        <v>437</v>
      </c>
      <c r="E20" t="s">
        <v>1</v>
      </c>
      <c r="F20" t="s">
        <v>437</v>
      </c>
      <c r="G20">
        <v>120</v>
      </c>
      <c r="H20" t="s">
        <v>2</v>
      </c>
      <c r="I20" s="13">
        <v>3200576.7135038404</v>
      </c>
      <c r="J20">
        <v>0</v>
      </c>
      <c r="K20">
        <v>1</v>
      </c>
      <c r="L20">
        <v>0</v>
      </c>
      <c r="M20">
        <v>104</v>
      </c>
      <c r="N20" s="16">
        <f t="shared" si="1"/>
        <v>3200576.7135038404</v>
      </c>
      <c r="O20" s="16">
        <f t="shared" si="2"/>
        <v>3200576.7135038404</v>
      </c>
      <c r="Q20" s="7">
        <f t="shared" si="0"/>
        <v>193</v>
      </c>
      <c r="R20" s="7">
        <v>20251231</v>
      </c>
    </row>
    <row r="21" spans="1:18" ht="18.600000000000001">
      <c r="A21" t="s">
        <v>360</v>
      </c>
      <c r="B21" s="11" t="s">
        <v>307</v>
      </c>
      <c r="C21" t="s">
        <v>436</v>
      </c>
      <c r="D21" t="s">
        <v>437</v>
      </c>
      <c r="E21" t="s">
        <v>1</v>
      </c>
      <c r="F21" t="s">
        <v>437</v>
      </c>
      <c r="G21">
        <v>120</v>
      </c>
      <c r="H21" t="s">
        <v>2</v>
      </c>
      <c r="I21" s="13">
        <v>3200576.7135038404</v>
      </c>
      <c r="J21">
        <v>0</v>
      </c>
      <c r="K21">
        <v>1</v>
      </c>
      <c r="L21">
        <v>0</v>
      </c>
      <c r="M21">
        <v>104</v>
      </c>
      <c r="N21" s="16">
        <f t="shared" si="1"/>
        <v>3200576.7135038404</v>
      </c>
      <c r="O21" s="16">
        <f t="shared" si="2"/>
        <v>3200576.7135038404</v>
      </c>
      <c r="Q21" s="7">
        <f t="shared" si="0"/>
        <v>193</v>
      </c>
      <c r="R21" s="7">
        <v>20251231</v>
      </c>
    </row>
    <row r="22" spans="1:18" ht="18.600000000000001">
      <c r="A22" t="s">
        <v>361</v>
      </c>
      <c r="B22" s="11" t="s">
        <v>307</v>
      </c>
      <c r="C22" t="s">
        <v>436</v>
      </c>
      <c r="D22" t="s">
        <v>437</v>
      </c>
      <c r="E22" t="s">
        <v>1</v>
      </c>
      <c r="F22" t="s">
        <v>437</v>
      </c>
      <c r="G22">
        <v>120</v>
      </c>
      <c r="H22" t="s">
        <v>2</v>
      </c>
      <c r="I22" s="13">
        <v>3200576.7135038404</v>
      </c>
      <c r="J22">
        <v>0</v>
      </c>
      <c r="K22">
        <v>1</v>
      </c>
      <c r="L22">
        <v>0</v>
      </c>
      <c r="M22">
        <v>104</v>
      </c>
      <c r="N22" s="16">
        <f t="shared" si="1"/>
        <v>3200576.7135038404</v>
      </c>
      <c r="O22" s="16">
        <f t="shared" si="2"/>
        <v>3200576.7135038404</v>
      </c>
      <c r="Q22" s="7">
        <f t="shared" si="0"/>
        <v>193</v>
      </c>
      <c r="R22" s="7">
        <v>20251231</v>
      </c>
    </row>
    <row r="23" spans="1:18" ht="18.600000000000001">
      <c r="A23" t="s">
        <v>362</v>
      </c>
      <c r="B23" s="11" t="s">
        <v>307</v>
      </c>
      <c r="C23" t="s">
        <v>436</v>
      </c>
      <c r="D23" t="s">
        <v>437</v>
      </c>
      <c r="E23" t="s">
        <v>1</v>
      </c>
      <c r="F23" t="s">
        <v>437</v>
      </c>
      <c r="G23">
        <v>120</v>
      </c>
      <c r="H23" t="s">
        <v>2</v>
      </c>
      <c r="I23" s="13">
        <v>3200576.7135038404</v>
      </c>
      <c r="J23">
        <v>0</v>
      </c>
      <c r="K23">
        <v>1</v>
      </c>
      <c r="L23">
        <v>0</v>
      </c>
      <c r="M23">
        <v>104</v>
      </c>
      <c r="N23" s="16">
        <f t="shared" si="1"/>
        <v>3200576.7135038404</v>
      </c>
      <c r="O23" s="16">
        <f t="shared" si="2"/>
        <v>3200576.7135038404</v>
      </c>
      <c r="Q23" s="7">
        <f t="shared" si="0"/>
        <v>193</v>
      </c>
      <c r="R23" s="7">
        <v>20251231</v>
      </c>
    </row>
    <row r="24" spans="1:18" ht="18.600000000000001">
      <c r="A24" t="s">
        <v>363</v>
      </c>
      <c r="B24" s="11" t="s">
        <v>307</v>
      </c>
      <c r="C24" t="s">
        <v>436</v>
      </c>
      <c r="D24" t="s">
        <v>437</v>
      </c>
      <c r="E24" t="s">
        <v>1</v>
      </c>
      <c r="F24" t="s">
        <v>437</v>
      </c>
      <c r="G24">
        <v>120</v>
      </c>
      <c r="H24" t="s">
        <v>2</v>
      </c>
      <c r="I24" s="13">
        <v>3200576.7135038404</v>
      </c>
      <c r="J24">
        <v>0</v>
      </c>
      <c r="K24">
        <v>1</v>
      </c>
      <c r="L24">
        <v>0</v>
      </c>
      <c r="M24">
        <v>104</v>
      </c>
      <c r="N24" s="16">
        <f t="shared" si="1"/>
        <v>3200576.7135038404</v>
      </c>
      <c r="O24" s="16">
        <f t="shared" si="2"/>
        <v>3200576.7135038404</v>
      </c>
      <c r="Q24" s="7">
        <f t="shared" si="0"/>
        <v>193</v>
      </c>
      <c r="R24" s="7">
        <v>20251231</v>
      </c>
    </row>
    <row r="25" spans="1:18" ht="18.600000000000001">
      <c r="A25" t="s">
        <v>364</v>
      </c>
      <c r="B25" s="11" t="s">
        <v>308</v>
      </c>
      <c r="C25" t="s">
        <v>436</v>
      </c>
      <c r="D25" t="s">
        <v>437</v>
      </c>
      <c r="E25" t="s">
        <v>1</v>
      </c>
      <c r="F25" t="s">
        <v>437</v>
      </c>
      <c r="G25">
        <v>120</v>
      </c>
      <c r="H25" t="s">
        <v>2</v>
      </c>
      <c r="I25" s="13">
        <v>14187298.78168416</v>
      </c>
      <c r="J25">
        <v>0</v>
      </c>
      <c r="K25">
        <v>1</v>
      </c>
      <c r="L25">
        <v>0</v>
      </c>
      <c r="M25">
        <v>104</v>
      </c>
      <c r="N25" s="16">
        <f t="shared" si="1"/>
        <v>14187298.78168416</v>
      </c>
      <c r="O25" s="16">
        <f t="shared" si="2"/>
        <v>14187298.78168416</v>
      </c>
      <c r="Q25" s="7">
        <f t="shared" si="0"/>
        <v>193</v>
      </c>
      <c r="R25" s="7">
        <v>20251231</v>
      </c>
    </row>
    <row r="26" spans="1:18" ht="18.600000000000001">
      <c r="A26" t="s">
        <v>365</v>
      </c>
      <c r="B26" s="11" t="s">
        <v>309</v>
      </c>
      <c r="C26" t="s">
        <v>436</v>
      </c>
      <c r="D26" t="s">
        <v>437</v>
      </c>
      <c r="E26" t="s">
        <v>1</v>
      </c>
      <c r="F26" t="s">
        <v>437</v>
      </c>
      <c r="G26">
        <v>120</v>
      </c>
      <c r="H26" t="s">
        <v>2</v>
      </c>
      <c r="I26" s="13">
        <v>32914502.982947521</v>
      </c>
      <c r="J26">
        <v>0</v>
      </c>
      <c r="K26">
        <v>1</v>
      </c>
      <c r="L26">
        <v>0</v>
      </c>
      <c r="M26">
        <v>104</v>
      </c>
      <c r="N26" s="16">
        <f t="shared" si="1"/>
        <v>32914502.982947521</v>
      </c>
      <c r="O26" s="16">
        <f t="shared" si="2"/>
        <v>32914502.982947521</v>
      </c>
      <c r="Q26" s="7">
        <f t="shared" si="0"/>
        <v>193</v>
      </c>
      <c r="R26" s="7">
        <v>20251231</v>
      </c>
    </row>
    <row r="27" spans="1:18" ht="18.600000000000001">
      <c r="A27" t="s">
        <v>366</v>
      </c>
      <c r="B27" s="11" t="s">
        <v>309</v>
      </c>
      <c r="C27" t="s">
        <v>436</v>
      </c>
      <c r="D27" t="s">
        <v>437</v>
      </c>
      <c r="E27" t="s">
        <v>1</v>
      </c>
      <c r="F27" t="s">
        <v>437</v>
      </c>
      <c r="G27">
        <v>120</v>
      </c>
      <c r="H27" t="s">
        <v>2</v>
      </c>
      <c r="I27" s="13">
        <v>32914502.982947521</v>
      </c>
      <c r="J27">
        <v>0</v>
      </c>
      <c r="K27">
        <v>1</v>
      </c>
      <c r="L27">
        <v>0</v>
      </c>
      <c r="M27">
        <v>104</v>
      </c>
      <c r="N27" s="16">
        <f t="shared" si="1"/>
        <v>32914502.982947521</v>
      </c>
      <c r="O27" s="16">
        <f t="shared" si="2"/>
        <v>32914502.982947521</v>
      </c>
      <c r="Q27" s="7">
        <f t="shared" si="0"/>
        <v>193</v>
      </c>
      <c r="R27" s="7">
        <v>20251231</v>
      </c>
    </row>
    <row r="28" spans="1:18" ht="18.600000000000001">
      <c r="A28" t="s">
        <v>367</v>
      </c>
      <c r="B28" s="11" t="s">
        <v>310</v>
      </c>
      <c r="C28" t="s">
        <v>436</v>
      </c>
      <c r="D28" t="s">
        <v>437</v>
      </c>
      <c r="E28" t="s">
        <v>1</v>
      </c>
      <c r="F28" t="s">
        <v>437</v>
      </c>
      <c r="G28">
        <v>120</v>
      </c>
      <c r="H28" t="s">
        <v>2</v>
      </c>
      <c r="I28" s="13">
        <v>6503423.94809712</v>
      </c>
      <c r="J28">
        <v>0</v>
      </c>
      <c r="K28">
        <v>1</v>
      </c>
      <c r="L28">
        <v>0</v>
      </c>
      <c r="M28">
        <v>104</v>
      </c>
      <c r="N28" s="16">
        <f t="shared" si="1"/>
        <v>6503423.94809712</v>
      </c>
      <c r="O28" s="16">
        <f t="shared" si="2"/>
        <v>6503423.94809712</v>
      </c>
      <c r="Q28" s="7">
        <f t="shared" si="0"/>
        <v>193</v>
      </c>
      <c r="R28" s="7">
        <v>20251231</v>
      </c>
    </row>
    <row r="29" spans="1:18" ht="18.600000000000001">
      <c r="A29" t="s">
        <v>368</v>
      </c>
      <c r="B29" s="11" t="s">
        <v>310</v>
      </c>
      <c r="C29" t="s">
        <v>436</v>
      </c>
      <c r="D29" t="s">
        <v>437</v>
      </c>
      <c r="E29" t="s">
        <v>1</v>
      </c>
      <c r="F29" t="s">
        <v>437</v>
      </c>
      <c r="G29">
        <v>120</v>
      </c>
      <c r="H29" t="s">
        <v>2</v>
      </c>
      <c r="I29" s="13">
        <v>6503423.94809712</v>
      </c>
      <c r="J29">
        <v>0</v>
      </c>
      <c r="K29">
        <v>1</v>
      </c>
      <c r="L29">
        <v>0</v>
      </c>
      <c r="M29">
        <v>104</v>
      </c>
      <c r="N29" s="16">
        <f t="shared" si="1"/>
        <v>6503423.94809712</v>
      </c>
      <c r="O29" s="16">
        <f t="shared" si="2"/>
        <v>6503423.94809712</v>
      </c>
      <c r="Q29" s="7">
        <f t="shared" si="0"/>
        <v>193</v>
      </c>
      <c r="R29" s="7">
        <v>20251231</v>
      </c>
    </row>
    <row r="30" spans="1:18" ht="18.600000000000001">
      <c r="A30" t="s">
        <v>369</v>
      </c>
      <c r="B30" s="11" t="s">
        <v>310</v>
      </c>
      <c r="C30" t="s">
        <v>436</v>
      </c>
      <c r="D30" t="s">
        <v>437</v>
      </c>
      <c r="E30" t="s">
        <v>1</v>
      </c>
      <c r="F30" t="s">
        <v>437</v>
      </c>
      <c r="G30">
        <v>120</v>
      </c>
      <c r="H30" t="s">
        <v>2</v>
      </c>
      <c r="I30" s="13">
        <v>6503423.94809712</v>
      </c>
      <c r="J30">
        <v>0</v>
      </c>
      <c r="K30">
        <v>1</v>
      </c>
      <c r="L30">
        <v>0</v>
      </c>
      <c r="M30">
        <v>104</v>
      </c>
      <c r="N30" s="16">
        <f t="shared" si="1"/>
        <v>6503423.94809712</v>
      </c>
      <c r="O30" s="16">
        <f t="shared" si="2"/>
        <v>6503423.94809712</v>
      </c>
      <c r="Q30" s="7">
        <f t="shared" si="0"/>
        <v>193</v>
      </c>
      <c r="R30" s="7">
        <v>20251231</v>
      </c>
    </row>
    <row r="31" spans="1:18" ht="18.600000000000001">
      <c r="A31" t="s">
        <v>370</v>
      </c>
      <c r="B31" s="11" t="s">
        <v>310</v>
      </c>
      <c r="C31" t="s">
        <v>436</v>
      </c>
      <c r="D31" t="s">
        <v>437</v>
      </c>
      <c r="E31" t="s">
        <v>1</v>
      </c>
      <c r="F31" t="s">
        <v>437</v>
      </c>
      <c r="G31">
        <v>120</v>
      </c>
      <c r="H31" t="s">
        <v>2</v>
      </c>
      <c r="I31" s="13">
        <v>6503423.94809712</v>
      </c>
      <c r="J31">
        <v>0</v>
      </c>
      <c r="K31">
        <v>1</v>
      </c>
      <c r="L31">
        <v>0</v>
      </c>
      <c r="M31">
        <v>104</v>
      </c>
      <c r="N31" s="16">
        <f t="shared" si="1"/>
        <v>6503423.94809712</v>
      </c>
      <c r="O31" s="16">
        <f t="shared" si="2"/>
        <v>6503423.94809712</v>
      </c>
      <c r="Q31" s="7">
        <f t="shared" si="0"/>
        <v>193</v>
      </c>
      <c r="R31" s="7">
        <v>20251231</v>
      </c>
    </row>
    <row r="32" spans="1:18" ht="18.600000000000001">
      <c r="A32" t="s">
        <v>371</v>
      </c>
      <c r="B32" s="11" t="s">
        <v>310</v>
      </c>
      <c r="C32" t="s">
        <v>436</v>
      </c>
      <c r="D32" t="s">
        <v>437</v>
      </c>
      <c r="E32" t="s">
        <v>1</v>
      </c>
      <c r="F32" t="s">
        <v>437</v>
      </c>
      <c r="G32">
        <v>120</v>
      </c>
      <c r="H32" t="s">
        <v>2</v>
      </c>
      <c r="I32" s="13">
        <v>6503423.94809712</v>
      </c>
      <c r="J32">
        <v>0</v>
      </c>
      <c r="K32">
        <v>1</v>
      </c>
      <c r="L32">
        <v>0</v>
      </c>
      <c r="M32">
        <v>104</v>
      </c>
      <c r="N32" s="16">
        <f t="shared" si="1"/>
        <v>6503423.94809712</v>
      </c>
      <c r="O32" s="16">
        <f t="shared" si="2"/>
        <v>6503423.94809712</v>
      </c>
      <c r="Q32" s="7">
        <f t="shared" si="0"/>
        <v>193</v>
      </c>
      <c r="R32" s="7">
        <v>20251231</v>
      </c>
    </row>
    <row r="33" spans="1:18" ht="18.600000000000001">
      <c r="A33" t="s">
        <v>372</v>
      </c>
      <c r="B33" s="11" t="s">
        <v>310</v>
      </c>
      <c r="C33" t="s">
        <v>436</v>
      </c>
      <c r="D33" t="s">
        <v>437</v>
      </c>
      <c r="E33" t="s">
        <v>1</v>
      </c>
      <c r="F33" t="s">
        <v>437</v>
      </c>
      <c r="G33">
        <v>120</v>
      </c>
      <c r="H33" t="s">
        <v>2</v>
      </c>
      <c r="I33" s="13">
        <v>6503423.94809712</v>
      </c>
      <c r="J33">
        <v>0</v>
      </c>
      <c r="K33">
        <v>1</v>
      </c>
      <c r="L33">
        <v>0</v>
      </c>
      <c r="M33">
        <v>104</v>
      </c>
      <c r="N33" s="16">
        <f t="shared" si="1"/>
        <v>6503423.94809712</v>
      </c>
      <c r="O33" s="16">
        <f t="shared" si="2"/>
        <v>6503423.94809712</v>
      </c>
      <c r="Q33" s="7">
        <f t="shared" si="0"/>
        <v>193</v>
      </c>
      <c r="R33" s="7">
        <v>20251231</v>
      </c>
    </row>
    <row r="34" spans="1:18" ht="18.600000000000001">
      <c r="A34" t="s">
        <v>373</v>
      </c>
      <c r="B34" s="11" t="s">
        <v>310</v>
      </c>
      <c r="C34" t="s">
        <v>436</v>
      </c>
      <c r="D34" t="s">
        <v>437</v>
      </c>
      <c r="E34" t="s">
        <v>1</v>
      </c>
      <c r="F34" t="s">
        <v>437</v>
      </c>
      <c r="G34">
        <v>120</v>
      </c>
      <c r="H34" t="s">
        <v>2</v>
      </c>
      <c r="I34" s="13">
        <v>6503423.94809712</v>
      </c>
      <c r="J34">
        <v>0</v>
      </c>
      <c r="K34">
        <v>1</v>
      </c>
      <c r="L34">
        <v>0</v>
      </c>
      <c r="M34">
        <v>104</v>
      </c>
      <c r="N34" s="16">
        <f t="shared" si="1"/>
        <v>6503423.94809712</v>
      </c>
      <c r="O34" s="16">
        <f t="shared" si="2"/>
        <v>6503423.94809712</v>
      </c>
      <c r="Q34" s="7">
        <f t="shared" ref="Q34:Q65" si="3">DATEDIF(DATE(LEFT(F34,4),MID(F34,5,2),MID(F34,7,2)), DATE(LEFT(R34,4),MID(R34,5,2),MID(R34,7,2)),"m")</f>
        <v>193</v>
      </c>
      <c r="R34" s="7">
        <v>20251231</v>
      </c>
    </row>
    <row r="35" spans="1:18" ht="18.600000000000001">
      <c r="A35" t="s">
        <v>374</v>
      </c>
      <c r="B35" s="11" t="s">
        <v>310</v>
      </c>
      <c r="C35" t="s">
        <v>436</v>
      </c>
      <c r="D35" t="s">
        <v>437</v>
      </c>
      <c r="E35" t="s">
        <v>1</v>
      </c>
      <c r="F35" t="s">
        <v>437</v>
      </c>
      <c r="G35">
        <v>120</v>
      </c>
      <c r="H35" t="s">
        <v>2</v>
      </c>
      <c r="I35" s="13">
        <v>6503423.94809712</v>
      </c>
      <c r="J35">
        <v>0</v>
      </c>
      <c r="K35">
        <v>1</v>
      </c>
      <c r="L35">
        <v>0</v>
      </c>
      <c r="M35">
        <v>104</v>
      </c>
      <c r="N35" s="16">
        <f t="shared" si="1"/>
        <v>6503423.94809712</v>
      </c>
      <c r="O35" s="16">
        <f t="shared" si="2"/>
        <v>6503423.94809712</v>
      </c>
      <c r="Q35" s="7">
        <f t="shared" si="3"/>
        <v>193</v>
      </c>
      <c r="R35" s="7">
        <v>20251231</v>
      </c>
    </row>
    <row r="36" spans="1:18" ht="18.600000000000001">
      <c r="A36" t="s">
        <v>375</v>
      </c>
      <c r="B36" s="11" t="s">
        <v>311</v>
      </c>
      <c r="C36" t="s">
        <v>436</v>
      </c>
      <c r="D36" t="s">
        <v>437</v>
      </c>
      <c r="E36" t="s">
        <v>1</v>
      </c>
      <c r="F36" t="s">
        <v>437</v>
      </c>
      <c r="G36">
        <v>120</v>
      </c>
      <c r="H36" t="s">
        <v>2</v>
      </c>
      <c r="I36" s="13">
        <v>8796208.2686834391</v>
      </c>
      <c r="J36">
        <v>0</v>
      </c>
      <c r="K36">
        <v>1</v>
      </c>
      <c r="L36">
        <v>0</v>
      </c>
      <c r="M36">
        <v>104</v>
      </c>
      <c r="N36" s="16">
        <f t="shared" si="1"/>
        <v>8796208.2686834391</v>
      </c>
      <c r="O36" s="16">
        <f t="shared" si="2"/>
        <v>8796208.2686834391</v>
      </c>
      <c r="Q36" s="7">
        <f t="shared" si="3"/>
        <v>193</v>
      </c>
      <c r="R36" s="7">
        <v>20251231</v>
      </c>
    </row>
    <row r="37" spans="1:18" ht="18.600000000000001">
      <c r="A37" t="s">
        <v>376</v>
      </c>
      <c r="B37" s="11" t="s">
        <v>311</v>
      </c>
      <c r="C37" t="s">
        <v>436</v>
      </c>
      <c r="D37" t="s">
        <v>437</v>
      </c>
      <c r="E37" t="s">
        <v>1</v>
      </c>
      <c r="F37" t="s">
        <v>437</v>
      </c>
      <c r="G37">
        <v>120</v>
      </c>
      <c r="H37" t="s">
        <v>2</v>
      </c>
      <c r="I37" s="13">
        <v>8796208.2686834391</v>
      </c>
      <c r="J37">
        <v>0</v>
      </c>
      <c r="K37">
        <v>1</v>
      </c>
      <c r="L37">
        <v>0</v>
      </c>
      <c r="M37">
        <v>104</v>
      </c>
      <c r="N37" s="16">
        <f t="shared" si="1"/>
        <v>8796208.2686834391</v>
      </c>
      <c r="O37" s="16">
        <f t="shared" si="2"/>
        <v>8796208.2686834391</v>
      </c>
      <c r="Q37" s="7">
        <f t="shared" si="3"/>
        <v>193</v>
      </c>
      <c r="R37" s="7">
        <v>20251231</v>
      </c>
    </row>
    <row r="38" spans="1:18" ht="18.600000000000001">
      <c r="A38" t="s">
        <v>377</v>
      </c>
      <c r="B38" s="11" t="s">
        <v>312</v>
      </c>
      <c r="C38" t="s">
        <v>436</v>
      </c>
      <c r="D38" t="s">
        <v>437</v>
      </c>
      <c r="E38" t="s">
        <v>1</v>
      </c>
      <c r="F38" t="s">
        <v>437</v>
      </c>
      <c r="G38">
        <v>120</v>
      </c>
      <c r="H38" t="s">
        <v>2</v>
      </c>
      <c r="I38" s="13">
        <v>2496947.98076856</v>
      </c>
      <c r="J38">
        <v>0</v>
      </c>
      <c r="K38">
        <v>1</v>
      </c>
      <c r="L38">
        <v>0</v>
      </c>
      <c r="M38">
        <v>104</v>
      </c>
      <c r="N38" s="16">
        <f t="shared" si="1"/>
        <v>2496947.98076856</v>
      </c>
      <c r="O38" s="16">
        <f t="shared" si="2"/>
        <v>2496947.98076856</v>
      </c>
      <c r="Q38" s="7">
        <f t="shared" si="3"/>
        <v>193</v>
      </c>
      <c r="R38" s="7">
        <v>20251231</v>
      </c>
    </row>
    <row r="39" spans="1:18" ht="18.600000000000001">
      <c r="A39" t="s">
        <v>378</v>
      </c>
      <c r="B39" s="11" t="s">
        <v>313</v>
      </c>
      <c r="C39" t="s">
        <v>436</v>
      </c>
      <c r="D39" t="s">
        <v>437</v>
      </c>
      <c r="E39" t="s">
        <v>1</v>
      </c>
      <c r="F39" t="s">
        <v>437</v>
      </c>
      <c r="G39">
        <v>120</v>
      </c>
      <c r="H39" t="s">
        <v>2</v>
      </c>
      <c r="I39" s="13">
        <v>3473046.5150779202</v>
      </c>
      <c r="J39">
        <v>0</v>
      </c>
      <c r="K39">
        <v>1</v>
      </c>
      <c r="L39">
        <v>0</v>
      </c>
      <c r="M39">
        <v>104</v>
      </c>
      <c r="N39" s="16">
        <f t="shared" si="1"/>
        <v>3473046.5150779202</v>
      </c>
      <c r="O39" s="16">
        <f t="shared" si="2"/>
        <v>3473046.5150779202</v>
      </c>
      <c r="Q39" s="7">
        <f t="shared" si="3"/>
        <v>193</v>
      </c>
      <c r="R39" s="7">
        <v>20251231</v>
      </c>
    </row>
    <row r="40" spans="1:18" ht="18.600000000000001">
      <c r="A40" t="s">
        <v>379</v>
      </c>
      <c r="B40" s="11" t="s">
        <v>313</v>
      </c>
      <c r="C40" t="s">
        <v>436</v>
      </c>
      <c r="D40" t="s">
        <v>437</v>
      </c>
      <c r="E40" t="s">
        <v>1</v>
      </c>
      <c r="F40" t="s">
        <v>437</v>
      </c>
      <c r="G40">
        <v>120</v>
      </c>
      <c r="H40" t="s">
        <v>2</v>
      </c>
      <c r="I40" s="13">
        <v>3473046.5150779202</v>
      </c>
      <c r="J40">
        <v>0</v>
      </c>
      <c r="K40">
        <v>1</v>
      </c>
      <c r="L40">
        <v>0</v>
      </c>
      <c r="M40">
        <v>104</v>
      </c>
      <c r="N40" s="16">
        <f t="shared" si="1"/>
        <v>3473046.5150779202</v>
      </c>
      <c r="O40" s="16">
        <f t="shared" si="2"/>
        <v>3473046.5150779202</v>
      </c>
      <c r="Q40" s="7">
        <f t="shared" si="3"/>
        <v>193</v>
      </c>
      <c r="R40" s="7">
        <v>20251231</v>
      </c>
    </row>
    <row r="41" spans="1:18" ht="18.600000000000001">
      <c r="A41" t="s">
        <v>380</v>
      </c>
      <c r="B41" s="11" t="s">
        <v>313</v>
      </c>
      <c r="C41" t="s">
        <v>436</v>
      </c>
      <c r="D41" t="s">
        <v>437</v>
      </c>
      <c r="E41" t="s">
        <v>1</v>
      </c>
      <c r="F41" t="s">
        <v>437</v>
      </c>
      <c r="G41">
        <v>120</v>
      </c>
      <c r="H41" t="s">
        <v>2</v>
      </c>
      <c r="I41" s="13">
        <v>3473046.5150779202</v>
      </c>
      <c r="J41">
        <v>0</v>
      </c>
      <c r="K41">
        <v>1</v>
      </c>
      <c r="L41">
        <v>0</v>
      </c>
      <c r="M41">
        <v>104</v>
      </c>
      <c r="N41" s="16">
        <f t="shared" si="1"/>
        <v>3473046.5150779202</v>
      </c>
      <c r="O41" s="16">
        <f t="shared" si="2"/>
        <v>3473046.5150779202</v>
      </c>
      <c r="Q41" s="7">
        <f t="shared" si="3"/>
        <v>193</v>
      </c>
      <c r="R41" s="7">
        <v>20251231</v>
      </c>
    </row>
    <row r="42" spans="1:18" ht="18.600000000000001">
      <c r="A42" t="s">
        <v>381</v>
      </c>
      <c r="B42" s="11" t="s">
        <v>314</v>
      </c>
      <c r="C42" t="s">
        <v>436</v>
      </c>
      <c r="D42" t="s">
        <v>437</v>
      </c>
      <c r="E42" t="s">
        <v>1</v>
      </c>
      <c r="F42" t="s">
        <v>437</v>
      </c>
      <c r="G42">
        <v>120</v>
      </c>
      <c r="H42" t="s">
        <v>2</v>
      </c>
      <c r="I42" s="13">
        <v>3586638.49606656</v>
      </c>
      <c r="J42">
        <v>0</v>
      </c>
      <c r="K42">
        <v>1</v>
      </c>
      <c r="L42">
        <v>0</v>
      </c>
      <c r="M42">
        <v>104</v>
      </c>
      <c r="N42" s="16">
        <f t="shared" si="1"/>
        <v>3586638.49606656</v>
      </c>
      <c r="O42" s="16">
        <f t="shared" si="2"/>
        <v>3586638.49606656</v>
      </c>
      <c r="Q42" s="7">
        <f t="shared" si="3"/>
        <v>193</v>
      </c>
      <c r="R42" s="7">
        <v>20251231</v>
      </c>
    </row>
    <row r="43" spans="1:18" ht="18.600000000000001">
      <c r="A43" t="s">
        <v>382</v>
      </c>
      <c r="B43" s="11" t="s">
        <v>314</v>
      </c>
      <c r="C43" t="s">
        <v>436</v>
      </c>
      <c r="D43" t="s">
        <v>437</v>
      </c>
      <c r="E43" t="s">
        <v>1</v>
      </c>
      <c r="F43" t="s">
        <v>437</v>
      </c>
      <c r="G43">
        <v>120</v>
      </c>
      <c r="H43" t="s">
        <v>2</v>
      </c>
      <c r="I43" s="13">
        <v>3586638.49606656</v>
      </c>
      <c r="J43">
        <v>0</v>
      </c>
      <c r="K43">
        <v>1</v>
      </c>
      <c r="L43">
        <v>0</v>
      </c>
      <c r="M43">
        <v>104</v>
      </c>
      <c r="N43" s="16">
        <f t="shared" si="1"/>
        <v>3586638.49606656</v>
      </c>
      <c r="O43" s="16">
        <f t="shared" si="2"/>
        <v>3586638.49606656</v>
      </c>
      <c r="Q43" s="7">
        <f t="shared" si="3"/>
        <v>193</v>
      </c>
      <c r="R43" s="7">
        <v>20251231</v>
      </c>
    </row>
    <row r="44" spans="1:18" ht="18.600000000000001">
      <c r="A44" t="s">
        <v>383</v>
      </c>
      <c r="B44" s="11" t="s">
        <v>314</v>
      </c>
      <c r="C44" t="s">
        <v>436</v>
      </c>
      <c r="D44" t="s">
        <v>437</v>
      </c>
      <c r="E44" t="s">
        <v>1</v>
      </c>
      <c r="F44" t="s">
        <v>437</v>
      </c>
      <c r="G44">
        <v>120</v>
      </c>
      <c r="H44" t="s">
        <v>2</v>
      </c>
      <c r="I44" s="13">
        <v>3586638.49606656</v>
      </c>
      <c r="J44">
        <v>0</v>
      </c>
      <c r="K44">
        <v>1</v>
      </c>
      <c r="L44">
        <v>0</v>
      </c>
      <c r="M44">
        <v>104</v>
      </c>
      <c r="N44" s="16">
        <f t="shared" si="1"/>
        <v>3586638.49606656</v>
      </c>
      <c r="O44" s="16">
        <f t="shared" si="2"/>
        <v>3586638.49606656</v>
      </c>
      <c r="Q44" s="7">
        <f t="shared" si="3"/>
        <v>193</v>
      </c>
      <c r="R44" s="7">
        <v>20251231</v>
      </c>
    </row>
    <row r="45" spans="1:18" ht="18.600000000000001">
      <c r="A45" t="s">
        <v>384</v>
      </c>
      <c r="B45" s="11" t="s">
        <v>314</v>
      </c>
      <c r="C45" t="s">
        <v>436</v>
      </c>
      <c r="D45" t="s">
        <v>437</v>
      </c>
      <c r="E45" t="s">
        <v>1</v>
      </c>
      <c r="F45" t="s">
        <v>437</v>
      </c>
      <c r="G45">
        <v>120</v>
      </c>
      <c r="H45" t="s">
        <v>2</v>
      </c>
      <c r="I45" s="13">
        <v>3586638.49606656</v>
      </c>
      <c r="J45">
        <v>0</v>
      </c>
      <c r="K45">
        <v>1</v>
      </c>
      <c r="L45">
        <v>0</v>
      </c>
      <c r="M45">
        <v>104</v>
      </c>
      <c r="N45" s="16">
        <f t="shared" si="1"/>
        <v>3586638.49606656</v>
      </c>
      <c r="O45" s="16">
        <f t="shared" si="2"/>
        <v>3586638.49606656</v>
      </c>
      <c r="Q45" s="7">
        <f t="shared" si="3"/>
        <v>193</v>
      </c>
      <c r="R45" s="7">
        <v>20251231</v>
      </c>
    </row>
    <row r="46" spans="1:18" ht="18.600000000000001">
      <c r="A46" t="s">
        <v>385</v>
      </c>
      <c r="B46" s="11" t="s">
        <v>314</v>
      </c>
      <c r="C46" t="s">
        <v>436</v>
      </c>
      <c r="D46" t="s">
        <v>437</v>
      </c>
      <c r="E46" t="s">
        <v>1</v>
      </c>
      <c r="F46" t="s">
        <v>437</v>
      </c>
      <c r="G46">
        <v>120</v>
      </c>
      <c r="H46" t="s">
        <v>2</v>
      </c>
      <c r="I46" s="13">
        <v>3586638.49606656</v>
      </c>
      <c r="J46">
        <v>0</v>
      </c>
      <c r="K46">
        <v>1</v>
      </c>
      <c r="L46">
        <v>0</v>
      </c>
      <c r="M46">
        <v>104</v>
      </c>
      <c r="N46" s="16">
        <f t="shared" si="1"/>
        <v>3586638.49606656</v>
      </c>
      <c r="O46" s="16">
        <f t="shared" si="2"/>
        <v>3586638.49606656</v>
      </c>
      <c r="Q46" s="7">
        <f t="shared" si="3"/>
        <v>193</v>
      </c>
      <c r="R46" s="7">
        <v>20251231</v>
      </c>
    </row>
    <row r="47" spans="1:18" ht="18.600000000000001">
      <c r="A47" t="s">
        <v>386</v>
      </c>
      <c r="B47" s="11" t="s">
        <v>314</v>
      </c>
      <c r="C47" t="s">
        <v>436</v>
      </c>
      <c r="D47" t="s">
        <v>437</v>
      </c>
      <c r="E47" t="s">
        <v>1</v>
      </c>
      <c r="F47" t="s">
        <v>437</v>
      </c>
      <c r="G47">
        <v>120</v>
      </c>
      <c r="H47" t="s">
        <v>2</v>
      </c>
      <c r="I47" s="13">
        <v>3586638.49606656</v>
      </c>
      <c r="J47">
        <v>0</v>
      </c>
      <c r="K47">
        <v>1</v>
      </c>
      <c r="L47">
        <v>0</v>
      </c>
      <c r="M47">
        <v>104</v>
      </c>
      <c r="N47" s="16">
        <f t="shared" si="1"/>
        <v>3586638.49606656</v>
      </c>
      <c r="O47" s="16">
        <f t="shared" si="2"/>
        <v>3586638.49606656</v>
      </c>
      <c r="Q47" s="7">
        <f t="shared" si="3"/>
        <v>193</v>
      </c>
      <c r="R47" s="7">
        <v>20251231</v>
      </c>
    </row>
    <row r="48" spans="1:18" ht="18.600000000000001">
      <c r="A48" t="s">
        <v>387</v>
      </c>
      <c r="B48" s="11" t="s">
        <v>314</v>
      </c>
      <c r="C48" t="s">
        <v>436</v>
      </c>
      <c r="D48" t="s">
        <v>437</v>
      </c>
      <c r="E48" t="s">
        <v>1</v>
      </c>
      <c r="F48" t="s">
        <v>437</v>
      </c>
      <c r="G48">
        <v>120</v>
      </c>
      <c r="H48" t="s">
        <v>2</v>
      </c>
      <c r="I48" s="13">
        <v>3586638.49606656</v>
      </c>
      <c r="J48">
        <v>0</v>
      </c>
      <c r="K48">
        <v>1</v>
      </c>
      <c r="L48">
        <v>0</v>
      </c>
      <c r="M48">
        <v>104</v>
      </c>
      <c r="N48" s="16">
        <f t="shared" si="1"/>
        <v>3586638.49606656</v>
      </c>
      <c r="O48" s="16">
        <f t="shared" si="2"/>
        <v>3586638.49606656</v>
      </c>
      <c r="Q48" s="7">
        <f t="shared" si="3"/>
        <v>193</v>
      </c>
      <c r="R48" s="7">
        <v>20251231</v>
      </c>
    </row>
    <row r="49" spans="1:18" ht="18.600000000000001">
      <c r="A49" t="s">
        <v>388</v>
      </c>
      <c r="B49" s="11" t="s">
        <v>314</v>
      </c>
      <c r="C49" t="s">
        <v>436</v>
      </c>
      <c r="D49" t="s">
        <v>437</v>
      </c>
      <c r="E49" t="s">
        <v>1</v>
      </c>
      <c r="F49" t="s">
        <v>437</v>
      </c>
      <c r="G49">
        <v>120</v>
      </c>
      <c r="H49" t="s">
        <v>2</v>
      </c>
      <c r="I49" s="13">
        <v>3586638.49606656</v>
      </c>
      <c r="J49">
        <v>0</v>
      </c>
      <c r="K49">
        <v>1</v>
      </c>
      <c r="L49">
        <v>0</v>
      </c>
      <c r="M49">
        <v>104</v>
      </c>
      <c r="N49" s="16">
        <f t="shared" si="1"/>
        <v>3586638.49606656</v>
      </c>
      <c r="O49" s="16">
        <f t="shared" si="2"/>
        <v>3586638.49606656</v>
      </c>
      <c r="Q49" s="7">
        <f t="shared" si="3"/>
        <v>193</v>
      </c>
      <c r="R49" s="7">
        <v>20251231</v>
      </c>
    </row>
    <row r="50" spans="1:18" ht="18.600000000000001">
      <c r="A50" t="s">
        <v>389</v>
      </c>
      <c r="B50" s="11" t="s">
        <v>315</v>
      </c>
      <c r="C50" t="s">
        <v>436</v>
      </c>
      <c r="D50" t="s">
        <v>437</v>
      </c>
      <c r="E50" t="s">
        <v>1</v>
      </c>
      <c r="F50" t="s">
        <v>437</v>
      </c>
      <c r="G50">
        <v>120</v>
      </c>
      <c r="H50" t="s">
        <v>2</v>
      </c>
      <c r="I50" s="13">
        <v>3143969.4140078402</v>
      </c>
      <c r="J50">
        <v>0</v>
      </c>
      <c r="K50">
        <v>1</v>
      </c>
      <c r="L50">
        <v>0</v>
      </c>
      <c r="M50">
        <v>104</v>
      </c>
      <c r="N50" s="16">
        <f t="shared" si="1"/>
        <v>3143969.4140078402</v>
      </c>
      <c r="O50" s="16">
        <f t="shared" si="2"/>
        <v>3143969.4140078402</v>
      </c>
      <c r="Q50" s="7">
        <f t="shared" si="3"/>
        <v>193</v>
      </c>
      <c r="R50" s="7">
        <v>20251231</v>
      </c>
    </row>
    <row r="51" spans="1:18" ht="18.600000000000001">
      <c r="A51" t="s">
        <v>390</v>
      </c>
      <c r="B51" s="11" t="s">
        <v>316</v>
      </c>
      <c r="C51" t="s">
        <v>436</v>
      </c>
      <c r="D51" t="s">
        <v>437</v>
      </c>
      <c r="E51" t="s">
        <v>1</v>
      </c>
      <c r="F51" t="s">
        <v>437</v>
      </c>
      <c r="G51">
        <v>120</v>
      </c>
      <c r="H51" t="s">
        <v>2</v>
      </c>
      <c r="I51" s="13">
        <v>2797721.4320906401</v>
      </c>
      <c r="J51">
        <v>0</v>
      </c>
      <c r="K51">
        <v>1</v>
      </c>
      <c r="L51">
        <v>0</v>
      </c>
      <c r="M51">
        <v>104</v>
      </c>
      <c r="N51" s="16">
        <f t="shared" si="1"/>
        <v>2797721.4320906401</v>
      </c>
      <c r="O51" s="16">
        <f t="shared" si="2"/>
        <v>2797721.4320906401</v>
      </c>
      <c r="Q51" s="7">
        <f t="shared" si="3"/>
        <v>193</v>
      </c>
      <c r="R51" s="7">
        <v>20251231</v>
      </c>
    </row>
    <row r="52" spans="1:18" ht="18.600000000000001">
      <c r="A52" t="s">
        <v>391</v>
      </c>
      <c r="B52" s="11" t="s">
        <v>316</v>
      </c>
      <c r="C52" t="s">
        <v>436</v>
      </c>
      <c r="D52" t="s">
        <v>437</v>
      </c>
      <c r="E52" t="s">
        <v>1</v>
      </c>
      <c r="F52" t="s">
        <v>437</v>
      </c>
      <c r="G52">
        <v>120</v>
      </c>
      <c r="H52" t="s">
        <v>2</v>
      </c>
      <c r="I52" s="13">
        <v>2797721.4320906401</v>
      </c>
      <c r="J52">
        <v>0</v>
      </c>
      <c r="K52">
        <v>1</v>
      </c>
      <c r="L52">
        <v>0</v>
      </c>
      <c r="M52">
        <v>104</v>
      </c>
      <c r="N52" s="16">
        <f t="shared" si="1"/>
        <v>2797721.4320906401</v>
      </c>
      <c r="O52" s="16">
        <f t="shared" si="2"/>
        <v>2797721.4320906401</v>
      </c>
      <c r="Q52" s="7">
        <f t="shared" si="3"/>
        <v>193</v>
      </c>
      <c r="R52" s="7">
        <v>20251231</v>
      </c>
    </row>
    <row r="53" spans="1:18" ht="18.600000000000001">
      <c r="A53" t="s">
        <v>392</v>
      </c>
      <c r="B53" s="11" t="s">
        <v>316</v>
      </c>
      <c r="C53" t="s">
        <v>436</v>
      </c>
      <c r="D53" t="s">
        <v>437</v>
      </c>
      <c r="E53" t="s">
        <v>1</v>
      </c>
      <c r="F53" t="s">
        <v>437</v>
      </c>
      <c r="G53">
        <v>120</v>
      </c>
      <c r="H53" t="s">
        <v>2</v>
      </c>
      <c r="I53" s="13">
        <v>2797721.4320906401</v>
      </c>
      <c r="J53">
        <v>0</v>
      </c>
      <c r="K53">
        <v>1</v>
      </c>
      <c r="L53">
        <v>0</v>
      </c>
      <c r="M53">
        <v>104</v>
      </c>
      <c r="N53" s="16">
        <f t="shared" si="1"/>
        <v>2797721.4320906401</v>
      </c>
      <c r="O53" s="16">
        <f t="shared" si="2"/>
        <v>2797721.4320906401</v>
      </c>
      <c r="Q53" s="7">
        <f t="shared" si="3"/>
        <v>193</v>
      </c>
      <c r="R53" s="7">
        <v>20251231</v>
      </c>
    </row>
    <row r="54" spans="1:18" ht="18.600000000000001">
      <c r="A54" t="s">
        <v>393</v>
      </c>
      <c r="B54" s="11" t="s">
        <v>316</v>
      </c>
      <c r="C54" t="s">
        <v>436</v>
      </c>
      <c r="D54" t="s">
        <v>437</v>
      </c>
      <c r="E54" t="s">
        <v>1</v>
      </c>
      <c r="F54" t="s">
        <v>437</v>
      </c>
      <c r="G54">
        <v>120</v>
      </c>
      <c r="H54" t="s">
        <v>2</v>
      </c>
      <c r="I54" s="13">
        <v>2797721.4320906401</v>
      </c>
      <c r="J54">
        <v>0</v>
      </c>
      <c r="K54">
        <v>1</v>
      </c>
      <c r="L54">
        <v>0</v>
      </c>
      <c r="M54">
        <v>104</v>
      </c>
      <c r="N54" s="16">
        <f t="shared" si="1"/>
        <v>2797721.4320906401</v>
      </c>
      <c r="O54" s="16">
        <f t="shared" si="2"/>
        <v>2797721.4320906401</v>
      </c>
      <c r="Q54" s="7">
        <f t="shared" si="3"/>
        <v>193</v>
      </c>
      <c r="R54" s="7">
        <v>20251231</v>
      </c>
    </row>
    <row r="55" spans="1:18" ht="18.600000000000001">
      <c r="A55" t="s">
        <v>394</v>
      </c>
      <c r="B55" s="11" t="s">
        <v>316</v>
      </c>
      <c r="C55" t="s">
        <v>436</v>
      </c>
      <c r="D55" t="s">
        <v>437</v>
      </c>
      <c r="E55" t="s">
        <v>1</v>
      </c>
      <c r="F55" t="s">
        <v>437</v>
      </c>
      <c r="G55">
        <v>120</v>
      </c>
      <c r="H55" t="s">
        <v>2</v>
      </c>
      <c r="I55" s="13">
        <v>2797721.4320906401</v>
      </c>
      <c r="J55">
        <v>0</v>
      </c>
      <c r="K55">
        <v>1</v>
      </c>
      <c r="L55">
        <v>0</v>
      </c>
      <c r="M55">
        <v>104</v>
      </c>
      <c r="N55" s="16">
        <f t="shared" si="1"/>
        <v>2797721.4320906401</v>
      </c>
      <c r="O55" s="16">
        <f t="shared" si="2"/>
        <v>2797721.4320906401</v>
      </c>
      <c r="Q55" s="7">
        <f t="shared" si="3"/>
        <v>193</v>
      </c>
      <c r="R55" s="7">
        <v>20251231</v>
      </c>
    </row>
    <row r="56" spans="1:18" ht="18.600000000000001">
      <c r="A56" t="s">
        <v>395</v>
      </c>
      <c r="B56" s="11" t="s">
        <v>316</v>
      </c>
      <c r="C56" t="s">
        <v>436</v>
      </c>
      <c r="D56" t="s">
        <v>437</v>
      </c>
      <c r="E56" t="s">
        <v>1</v>
      </c>
      <c r="F56" t="s">
        <v>437</v>
      </c>
      <c r="G56">
        <v>120</v>
      </c>
      <c r="H56" t="s">
        <v>2</v>
      </c>
      <c r="I56" s="13">
        <v>2797721.4320906401</v>
      </c>
      <c r="J56">
        <v>0</v>
      </c>
      <c r="K56">
        <v>1</v>
      </c>
      <c r="L56">
        <v>0</v>
      </c>
      <c r="M56">
        <v>104</v>
      </c>
      <c r="N56" s="16">
        <f t="shared" si="1"/>
        <v>2797721.4320906401</v>
      </c>
      <c r="O56" s="16">
        <f t="shared" si="2"/>
        <v>2797721.4320906401</v>
      </c>
      <c r="Q56" s="7">
        <f t="shared" si="3"/>
        <v>193</v>
      </c>
      <c r="R56" s="7">
        <v>20251231</v>
      </c>
    </row>
    <row r="57" spans="1:18" ht="18.600000000000001">
      <c r="A57" t="s">
        <v>396</v>
      </c>
      <c r="B57" s="11" t="s">
        <v>316</v>
      </c>
      <c r="C57" t="s">
        <v>436</v>
      </c>
      <c r="D57" t="s">
        <v>437</v>
      </c>
      <c r="E57" t="s">
        <v>1</v>
      </c>
      <c r="F57" t="s">
        <v>437</v>
      </c>
      <c r="G57">
        <v>120</v>
      </c>
      <c r="H57" t="s">
        <v>2</v>
      </c>
      <c r="I57" s="13">
        <v>2797721.4320906401</v>
      </c>
      <c r="J57">
        <v>0</v>
      </c>
      <c r="K57">
        <v>1</v>
      </c>
      <c r="L57">
        <v>0</v>
      </c>
      <c r="M57">
        <v>104</v>
      </c>
      <c r="N57" s="16">
        <f t="shared" si="1"/>
        <v>2797721.4320906401</v>
      </c>
      <c r="O57" s="16">
        <f t="shared" si="2"/>
        <v>2797721.4320906401</v>
      </c>
      <c r="Q57" s="7">
        <f t="shared" si="3"/>
        <v>193</v>
      </c>
      <c r="R57" s="7">
        <v>20251231</v>
      </c>
    </row>
    <row r="58" spans="1:18" ht="18.600000000000001">
      <c r="A58" t="s">
        <v>397</v>
      </c>
      <c r="B58" s="11" t="s">
        <v>316</v>
      </c>
      <c r="C58" t="s">
        <v>436</v>
      </c>
      <c r="D58" t="s">
        <v>437</v>
      </c>
      <c r="E58" t="s">
        <v>1</v>
      </c>
      <c r="F58" t="s">
        <v>437</v>
      </c>
      <c r="G58">
        <v>120</v>
      </c>
      <c r="H58" t="s">
        <v>2</v>
      </c>
      <c r="I58" s="13">
        <v>2797721.4320906401</v>
      </c>
      <c r="J58">
        <v>0</v>
      </c>
      <c r="K58">
        <v>1</v>
      </c>
      <c r="L58">
        <v>0</v>
      </c>
      <c r="M58">
        <v>104</v>
      </c>
      <c r="N58" s="16">
        <f t="shared" si="1"/>
        <v>2797721.4320906401</v>
      </c>
      <c r="O58" s="16">
        <f t="shared" si="2"/>
        <v>2797721.4320906401</v>
      </c>
      <c r="Q58" s="7">
        <f t="shared" si="3"/>
        <v>193</v>
      </c>
      <c r="R58" s="7">
        <v>20251231</v>
      </c>
    </row>
    <row r="59" spans="1:18" ht="18.600000000000001">
      <c r="A59" t="s">
        <v>398</v>
      </c>
      <c r="B59" s="11" t="s">
        <v>317</v>
      </c>
      <c r="C59" t="s">
        <v>436</v>
      </c>
      <c r="D59" t="s">
        <v>437</v>
      </c>
      <c r="E59" t="s">
        <v>1</v>
      </c>
      <c r="F59" t="s">
        <v>437</v>
      </c>
      <c r="G59">
        <v>120</v>
      </c>
      <c r="H59" t="s">
        <v>2</v>
      </c>
      <c r="I59" s="13">
        <v>33237919.354068004</v>
      </c>
      <c r="J59">
        <v>0</v>
      </c>
      <c r="K59">
        <v>1</v>
      </c>
      <c r="L59">
        <v>0</v>
      </c>
      <c r="M59">
        <v>104</v>
      </c>
      <c r="N59" s="16">
        <f t="shared" si="1"/>
        <v>33237919.354068004</v>
      </c>
      <c r="O59" s="16">
        <f t="shared" si="2"/>
        <v>33237919.354068004</v>
      </c>
      <c r="Q59" s="7">
        <f t="shared" si="3"/>
        <v>193</v>
      </c>
      <c r="R59" s="7">
        <v>20251231</v>
      </c>
    </row>
    <row r="60" spans="1:18" ht="18.600000000000001">
      <c r="A60" t="s">
        <v>399</v>
      </c>
      <c r="B60" s="11" t="s">
        <v>318</v>
      </c>
      <c r="C60" t="s">
        <v>436</v>
      </c>
      <c r="D60" t="s">
        <v>437</v>
      </c>
      <c r="E60" t="s">
        <v>1</v>
      </c>
      <c r="F60" t="s">
        <v>437</v>
      </c>
      <c r="G60">
        <v>120</v>
      </c>
      <c r="H60" t="s">
        <v>2</v>
      </c>
      <c r="I60" s="13">
        <v>5845081.0549586397</v>
      </c>
      <c r="J60">
        <v>0</v>
      </c>
      <c r="K60">
        <v>1</v>
      </c>
      <c r="L60">
        <v>0</v>
      </c>
      <c r="M60">
        <v>104</v>
      </c>
      <c r="N60" s="16">
        <f t="shared" si="1"/>
        <v>5845081.0549586397</v>
      </c>
      <c r="O60" s="16">
        <f t="shared" si="2"/>
        <v>5845081.0549586397</v>
      </c>
      <c r="Q60" s="7">
        <f t="shared" si="3"/>
        <v>193</v>
      </c>
      <c r="R60" s="7">
        <v>20251231</v>
      </c>
    </row>
    <row r="61" spans="1:18" ht="18.600000000000001">
      <c r="A61" t="s">
        <v>400</v>
      </c>
      <c r="B61" s="11" t="s">
        <v>318</v>
      </c>
      <c r="C61" t="s">
        <v>436</v>
      </c>
      <c r="D61" t="s">
        <v>437</v>
      </c>
      <c r="E61" t="s">
        <v>1</v>
      </c>
      <c r="F61" t="s">
        <v>437</v>
      </c>
      <c r="G61">
        <v>120</v>
      </c>
      <c r="H61" t="s">
        <v>2</v>
      </c>
      <c r="I61" s="13">
        <v>5845081.0549586397</v>
      </c>
      <c r="J61">
        <v>0</v>
      </c>
      <c r="K61">
        <v>1</v>
      </c>
      <c r="L61">
        <v>0</v>
      </c>
      <c r="M61">
        <v>104</v>
      </c>
      <c r="N61" s="16">
        <f t="shared" si="1"/>
        <v>5845081.0549586397</v>
      </c>
      <c r="O61" s="16">
        <f t="shared" si="2"/>
        <v>5845081.0549586397</v>
      </c>
      <c r="Q61" s="7">
        <f t="shared" si="3"/>
        <v>193</v>
      </c>
      <c r="R61" s="7">
        <v>20251231</v>
      </c>
    </row>
    <row r="62" spans="1:18" ht="18.600000000000001">
      <c r="A62" t="s">
        <v>401</v>
      </c>
      <c r="B62" s="11" t="s">
        <v>318</v>
      </c>
      <c r="C62" t="s">
        <v>436</v>
      </c>
      <c r="D62" t="s">
        <v>437</v>
      </c>
      <c r="E62" t="s">
        <v>1</v>
      </c>
      <c r="F62" t="s">
        <v>437</v>
      </c>
      <c r="G62">
        <v>120</v>
      </c>
      <c r="H62" t="s">
        <v>2</v>
      </c>
      <c r="I62" s="13">
        <v>5845081.0549586397</v>
      </c>
      <c r="J62">
        <v>0</v>
      </c>
      <c r="K62">
        <v>1</v>
      </c>
      <c r="L62">
        <v>0</v>
      </c>
      <c r="M62">
        <v>104</v>
      </c>
      <c r="N62" s="16">
        <f t="shared" si="1"/>
        <v>5845081.0549586397</v>
      </c>
      <c r="O62" s="16">
        <f t="shared" si="2"/>
        <v>5845081.0549586397</v>
      </c>
      <c r="Q62" s="7">
        <f t="shared" si="3"/>
        <v>193</v>
      </c>
      <c r="R62" s="7">
        <v>20251231</v>
      </c>
    </row>
    <row r="63" spans="1:18" ht="18.600000000000001">
      <c r="A63" t="s">
        <v>402</v>
      </c>
      <c r="B63" s="11" t="s">
        <v>318</v>
      </c>
      <c r="C63" t="s">
        <v>436</v>
      </c>
      <c r="D63" t="s">
        <v>437</v>
      </c>
      <c r="E63" t="s">
        <v>1</v>
      </c>
      <c r="F63" t="s">
        <v>437</v>
      </c>
      <c r="G63">
        <v>120</v>
      </c>
      <c r="H63" t="s">
        <v>2</v>
      </c>
      <c r="I63" s="13">
        <v>5845081.0549586397</v>
      </c>
      <c r="J63">
        <v>0</v>
      </c>
      <c r="K63">
        <v>1</v>
      </c>
      <c r="L63">
        <v>0</v>
      </c>
      <c r="M63">
        <v>104</v>
      </c>
      <c r="N63" s="16">
        <f t="shared" si="1"/>
        <v>5845081.0549586397</v>
      </c>
      <c r="O63" s="16">
        <f t="shared" si="2"/>
        <v>5845081.0549586397</v>
      </c>
      <c r="Q63" s="7">
        <f t="shared" si="3"/>
        <v>193</v>
      </c>
      <c r="R63" s="7">
        <v>20251231</v>
      </c>
    </row>
    <row r="64" spans="1:18" ht="18.600000000000001">
      <c r="A64" t="s">
        <v>403</v>
      </c>
      <c r="B64" s="11" t="s">
        <v>318</v>
      </c>
      <c r="C64" t="s">
        <v>436</v>
      </c>
      <c r="D64" t="s">
        <v>437</v>
      </c>
      <c r="E64" t="s">
        <v>1</v>
      </c>
      <c r="F64" t="s">
        <v>437</v>
      </c>
      <c r="G64">
        <v>120</v>
      </c>
      <c r="H64" t="s">
        <v>2</v>
      </c>
      <c r="I64" s="13">
        <v>5845081.0549586397</v>
      </c>
      <c r="J64">
        <v>0</v>
      </c>
      <c r="K64">
        <v>1</v>
      </c>
      <c r="L64">
        <v>0</v>
      </c>
      <c r="M64">
        <v>104</v>
      </c>
      <c r="N64" s="16">
        <f t="shared" si="1"/>
        <v>5845081.0549586397</v>
      </c>
      <c r="O64" s="16">
        <f t="shared" si="2"/>
        <v>5845081.0549586397</v>
      </c>
      <c r="Q64" s="7">
        <f t="shared" si="3"/>
        <v>193</v>
      </c>
      <c r="R64" s="7">
        <v>20251231</v>
      </c>
    </row>
    <row r="65" spans="1:18" ht="18.600000000000001">
      <c r="A65" t="s">
        <v>404</v>
      </c>
      <c r="B65" s="11" t="s">
        <v>318</v>
      </c>
      <c r="C65" t="s">
        <v>436</v>
      </c>
      <c r="D65" t="s">
        <v>437</v>
      </c>
      <c r="E65" t="s">
        <v>1</v>
      </c>
      <c r="F65" t="s">
        <v>437</v>
      </c>
      <c r="G65">
        <v>120</v>
      </c>
      <c r="H65" t="s">
        <v>2</v>
      </c>
      <c r="I65" s="13">
        <v>5845081.0549586397</v>
      </c>
      <c r="J65">
        <v>0</v>
      </c>
      <c r="K65">
        <v>1</v>
      </c>
      <c r="L65">
        <v>0</v>
      </c>
      <c r="M65">
        <v>104</v>
      </c>
      <c r="N65" s="16">
        <f t="shared" si="1"/>
        <v>5845081.0549586397</v>
      </c>
      <c r="O65" s="16">
        <f t="shared" si="2"/>
        <v>5845081.0549586397</v>
      </c>
      <c r="Q65" s="7">
        <f t="shared" si="3"/>
        <v>193</v>
      </c>
      <c r="R65" s="7">
        <v>20251231</v>
      </c>
    </row>
    <row r="66" spans="1:18" ht="18.600000000000001">
      <c r="A66" t="s">
        <v>405</v>
      </c>
      <c r="B66" s="11" t="s">
        <v>318</v>
      </c>
      <c r="C66" t="s">
        <v>436</v>
      </c>
      <c r="D66" t="s">
        <v>437</v>
      </c>
      <c r="E66" t="s">
        <v>1</v>
      </c>
      <c r="F66" t="s">
        <v>437</v>
      </c>
      <c r="G66">
        <v>120</v>
      </c>
      <c r="H66" t="s">
        <v>2</v>
      </c>
      <c r="I66" s="13">
        <v>5845081.0549586397</v>
      </c>
      <c r="J66">
        <v>0</v>
      </c>
      <c r="K66">
        <v>1</v>
      </c>
      <c r="L66">
        <v>0</v>
      </c>
      <c r="M66">
        <v>104</v>
      </c>
      <c r="N66" s="16">
        <f t="shared" si="1"/>
        <v>5845081.0549586397</v>
      </c>
      <c r="O66" s="16">
        <f t="shared" si="2"/>
        <v>5845081.0549586397</v>
      </c>
      <c r="Q66" s="7">
        <f t="shared" ref="Q66:Q95" si="4">DATEDIF(DATE(LEFT(F66,4),MID(F66,5,2),MID(F66,7,2)), DATE(LEFT(R66,4),MID(R66,5,2),MID(R66,7,2)),"m")</f>
        <v>193</v>
      </c>
      <c r="R66" s="7">
        <v>20251231</v>
      </c>
    </row>
    <row r="67" spans="1:18" ht="18.600000000000001">
      <c r="A67" t="s">
        <v>406</v>
      </c>
      <c r="B67" s="11" t="s">
        <v>318</v>
      </c>
      <c r="C67" t="s">
        <v>436</v>
      </c>
      <c r="D67" t="s">
        <v>437</v>
      </c>
      <c r="E67" t="s">
        <v>1</v>
      </c>
      <c r="F67" t="s">
        <v>437</v>
      </c>
      <c r="G67">
        <v>120</v>
      </c>
      <c r="H67" t="s">
        <v>2</v>
      </c>
      <c r="I67" s="13">
        <v>5845081.0549586397</v>
      </c>
      <c r="J67">
        <v>0</v>
      </c>
      <c r="K67">
        <v>1</v>
      </c>
      <c r="L67">
        <v>0</v>
      </c>
      <c r="M67">
        <v>104</v>
      </c>
      <c r="N67" s="16">
        <f t="shared" ref="N67:N95" si="5">I67</f>
        <v>5845081.0549586397</v>
      </c>
      <c r="O67" s="16">
        <f t="shared" ref="O67:O95" si="6">I67</f>
        <v>5845081.0549586397</v>
      </c>
      <c r="Q67" s="7">
        <f t="shared" si="4"/>
        <v>193</v>
      </c>
      <c r="R67" s="7">
        <v>20251231</v>
      </c>
    </row>
    <row r="68" spans="1:18" ht="18.600000000000001">
      <c r="A68" t="s">
        <v>407</v>
      </c>
      <c r="B68" s="11" t="s">
        <v>318</v>
      </c>
      <c r="C68" t="s">
        <v>436</v>
      </c>
      <c r="D68" t="s">
        <v>437</v>
      </c>
      <c r="E68" t="s">
        <v>1</v>
      </c>
      <c r="F68" t="s">
        <v>437</v>
      </c>
      <c r="G68">
        <v>120</v>
      </c>
      <c r="H68" t="s">
        <v>2</v>
      </c>
      <c r="I68" s="13">
        <v>5845081.0549586397</v>
      </c>
      <c r="J68">
        <v>0</v>
      </c>
      <c r="K68">
        <v>1</v>
      </c>
      <c r="L68">
        <v>0</v>
      </c>
      <c r="M68">
        <v>104</v>
      </c>
      <c r="N68" s="16">
        <f t="shared" si="5"/>
        <v>5845081.0549586397</v>
      </c>
      <c r="O68" s="16">
        <f t="shared" si="6"/>
        <v>5845081.0549586397</v>
      </c>
      <c r="Q68" s="7">
        <f t="shared" si="4"/>
        <v>193</v>
      </c>
      <c r="R68" s="7">
        <v>20251231</v>
      </c>
    </row>
    <row r="69" spans="1:18" ht="18.600000000000001">
      <c r="A69" t="s">
        <v>408</v>
      </c>
      <c r="B69" s="11" t="s">
        <v>319</v>
      </c>
      <c r="C69" t="s">
        <v>436</v>
      </c>
      <c r="D69" t="s">
        <v>437</v>
      </c>
      <c r="E69" t="s">
        <v>1</v>
      </c>
      <c r="F69" t="s">
        <v>437</v>
      </c>
      <c r="G69">
        <v>120</v>
      </c>
      <c r="H69" t="s">
        <v>2</v>
      </c>
      <c r="I69" s="13">
        <v>8943575.9383713603</v>
      </c>
      <c r="J69">
        <v>0</v>
      </c>
      <c r="K69">
        <v>1</v>
      </c>
      <c r="L69">
        <v>0</v>
      </c>
      <c r="M69">
        <v>104</v>
      </c>
      <c r="N69" s="16">
        <f t="shared" si="5"/>
        <v>8943575.9383713603</v>
      </c>
      <c r="O69" s="16">
        <f t="shared" si="6"/>
        <v>8943575.9383713603</v>
      </c>
      <c r="Q69" s="7">
        <f t="shared" si="4"/>
        <v>193</v>
      </c>
      <c r="R69" s="7">
        <v>20251231</v>
      </c>
    </row>
    <row r="70" spans="1:18" ht="18.600000000000001">
      <c r="A70" t="s">
        <v>409</v>
      </c>
      <c r="B70" s="11" t="s">
        <v>320</v>
      </c>
      <c r="C70" t="s">
        <v>436</v>
      </c>
      <c r="D70" t="s">
        <v>437</v>
      </c>
      <c r="E70" t="s">
        <v>1</v>
      </c>
      <c r="F70" t="s">
        <v>437</v>
      </c>
      <c r="G70">
        <v>120</v>
      </c>
      <c r="H70" t="s">
        <v>2</v>
      </c>
      <c r="I70" s="13">
        <v>4687461.7802654402</v>
      </c>
      <c r="J70">
        <v>0</v>
      </c>
      <c r="K70">
        <v>1</v>
      </c>
      <c r="L70">
        <v>0</v>
      </c>
      <c r="M70">
        <v>104</v>
      </c>
      <c r="N70" s="16">
        <f t="shared" si="5"/>
        <v>4687461.7802654402</v>
      </c>
      <c r="O70" s="16">
        <f t="shared" si="6"/>
        <v>4687461.7802654402</v>
      </c>
      <c r="Q70" s="7">
        <f t="shared" si="4"/>
        <v>193</v>
      </c>
      <c r="R70" s="7">
        <v>20251231</v>
      </c>
    </row>
    <row r="71" spans="1:18" ht="18.600000000000001">
      <c r="A71" t="s">
        <v>410</v>
      </c>
      <c r="B71" s="11" t="s">
        <v>321</v>
      </c>
      <c r="C71" t="s">
        <v>436</v>
      </c>
      <c r="D71" t="s">
        <v>437</v>
      </c>
      <c r="E71" t="s">
        <v>1</v>
      </c>
      <c r="F71" t="s">
        <v>437</v>
      </c>
      <c r="G71">
        <v>120</v>
      </c>
      <c r="H71" t="s">
        <v>2</v>
      </c>
      <c r="I71" s="13">
        <v>4687461.7802654402</v>
      </c>
      <c r="J71">
        <v>0</v>
      </c>
      <c r="K71">
        <v>1</v>
      </c>
      <c r="L71">
        <v>0</v>
      </c>
      <c r="M71">
        <v>104</v>
      </c>
      <c r="N71" s="16">
        <f t="shared" si="5"/>
        <v>4687461.7802654402</v>
      </c>
      <c r="O71" s="16">
        <f t="shared" si="6"/>
        <v>4687461.7802654402</v>
      </c>
      <c r="Q71" s="7">
        <f t="shared" si="4"/>
        <v>193</v>
      </c>
      <c r="R71" s="7">
        <v>20251231</v>
      </c>
    </row>
    <row r="72" spans="1:18" ht="18.600000000000001">
      <c r="A72" t="s">
        <v>411</v>
      </c>
      <c r="B72" s="11" t="s">
        <v>321</v>
      </c>
      <c r="C72" t="s">
        <v>436</v>
      </c>
      <c r="D72" t="s">
        <v>437</v>
      </c>
      <c r="E72" t="s">
        <v>1</v>
      </c>
      <c r="F72" t="s">
        <v>437</v>
      </c>
      <c r="G72">
        <v>120</v>
      </c>
      <c r="H72" t="s">
        <v>2</v>
      </c>
      <c r="I72" s="13">
        <v>4687461.7802654402</v>
      </c>
      <c r="J72">
        <v>0</v>
      </c>
      <c r="K72">
        <v>1</v>
      </c>
      <c r="L72">
        <v>0</v>
      </c>
      <c r="M72">
        <v>104</v>
      </c>
      <c r="N72" s="16">
        <f t="shared" si="5"/>
        <v>4687461.7802654402</v>
      </c>
      <c r="O72" s="16">
        <f t="shared" si="6"/>
        <v>4687461.7802654402</v>
      </c>
      <c r="Q72" s="7">
        <f t="shared" si="4"/>
        <v>193</v>
      </c>
      <c r="R72" s="7">
        <v>20251231</v>
      </c>
    </row>
    <row r="73" spans="1:18" ht="18.600000000000001">
      <c r="A73" t="s">
        <v>412</v>
      </c>
      <c r="B73" s="11" t="s">
        <v>321</v>
      </c>
      <c r="C73" t="s">
        <v>436</v>
      </c>
      <c r="D73" t="s">
        <v>437</v>
      </c>
      <c r="E73" t="s">
        <v>1</v>
      </c>
      <c r="F73" t="s">
        <v>437</v>
      </c>
      <c r="G73">
        <v>120</v>
      </c>
      <c r="H73" t="s">
        <v>2</v>
      </c>
      <c r="I73" s="13">
        <v>4687461.7802654402</v>
      </c>
      <c r="J73">
        <v>0</v>
      </c>
      <c r="K73">
        <v>1</v>
      </c>
      <c r="L73">
        <v>0</v>
      </c>
      <c r="M73">
        <v>104</v>
      </c>
      <c r="N73" s="16">
        <f t="shared" si="5"/>
        <v>4687461.7802654402</v>
      </c>
      <c r="O73" s="16">
        <f t="shared" si="6"/>
        <v>4687461.7802654402</v>
      </c>
      <c r="Q73" s="7">
        <f t="shared" si="4"/>
        <v>193</v>
      </c>
      <c r="R73" s="7">
        <v>20251231</v>
      </c>
    </row>
    <row r="74" spans="1:18" ht="18.600000000000001">
      <c r="A74" t="s">
        <v>413</v>
      </c>
      <c r="B74" s="11" t="s">
        <v>322</v>
      </c>
      <c r="C74" t="s">
        <v>436</v>
      </c>
      <c r="D74" t="s">
        <v>437</v>
      </c>
      <c r="E74" t="s">
        <v>1</v>
      </c>
      <c r="F74" t="s">
        <v>437</v>
      </c>
      <c r="G74">
        <v>120</v>
      </c>
      <c r="H74" t="s">
        <v>2</v>
      </c>
      <c r="I74" s="13">
        <v>8569212.9977044798</v>
      </c>
      <c r="J74">
        <v>0</v>
      </c>
      <c r="K74">
        <v>1</v>
      </c>
      <c r="L74">
        <v>0</v>
      </c>
      <c r="M74">
        <v>104</v>
      </c>
      <c r="N74" s="16">
        <f t="shared" si="5"/>
        <v>8569212.9977044798</v>
      </c>
      <c r="O74" s="16">
        <f t="shared" si="6"/>
        <v>8569212.9977044798</v>
      </c>
      <c r="Q74" s="7">
        <f t="shared" si="4"/>
        <v>193</v>
      </c>
      <c r="R74" s="7">
        <v>20251231</v>
      </c>
    </row>
    <row r="75" spans="1:18" ht="18.600000000000001">
      <c r="A75" t="s">
        <v>414</v>
      </c>
      <c r="B75" s="11" t="s">
        <v>323</v>
      </c>
      <c r="C75" t="s">
        <v>436</v>
      </c>
      <c r="D75" t="s">
        <v>437</v>
      </c>
      <c r="E75" t="s">
        <v>1</v>
      </c>
      <c r="F75" t="s">
        <v>437</v>
      </c>
      <c r="G75">
        <v>120</v>
      </c>
      <c r="H75" t="s">
        <v>2</v>
      </c>
      <c r="I75" s="13">
        <v>1117994.1650459999</v>
      </c>
      <c r="J75">
        <v>0</v>
      </c>
      <c r="K75">
        <v>1</v>
      </c>
      <c r="L75">
        <v>0</v>
      </c>
      <c r="M75">
        <v>104</v>
      </c>
      <c r="N75" s="16">
        <f t="shared" si="5"/>
        <v>1117994.1650459999</v>
      </c>
      <c r="O75" s="16">
        <f t="shared" si="6"/>
        <v>1117994.1650459999</v>
      </c>
      <c r="Q75" s="7">
        <f t="shared" si="4"/>
        <v>193</v>
      </c>
      <c r="R75" s="7">
        <v>20251231</v>
      </c>
    </row>
    <row r="76" spans="1:18" ht="18.600000000000001">
      <c r="A76" t="s">
        <v>415</v>
      </c>
      <c r="B76" s="11" t="s">
        <v>323</v>
      </c>
      <c r="C76" t="s">
        <v>436</v>
      </c>
      <c r="D76" t="s">
        <v>437</v>
      </c>
      <c r="E76" t="s">
        <v>1</v>
      </c>
      <c r="F76" t="s">
        <v>437</v>
      </c>
      <c r="G76">
        <v>120</v>
      </c>
      <c r="H76" t="s">
        <v>2</v>
      </c>
      <c r="I76" s="13">
        <v>487641.11754599999</v>
      </c>
      <c r="J76">
        <v>0</v>
      </c>
      <c r="K76">
        <v>1</v>
      </c>
      <c r="L76">
        <v>0</v>
      </c>
      <c r="M76">
        <v>104</v>
      </c>
      <c r="N76" s="16">
        <f t="shared" si="5"/>
        <v>487641.11754599999</v>
      </c>
      <c r="O76" s="16">
        <f t="shared" si="6"/>
        <v>487641.11754599999</v>
      </c>
      <c r="Q76" s="7">
        <f t="shared" si="4"/>
        <v>193</v>
      </c>
      <c r="R76" s="7">
        <v>20251231</v>
      </c>
    </row>
    <row r="77" spans="1:18" ht="18.600000000000001">
      <c r="A77" t="s">
        <v>416</v>
      </c>
      <c r="B77" s="11" t="s">
        <v>323</v>
      </c>
      <c r="C77" t="s">
        <v>436</v>
      </c>
      <c r="D77" t="s">
        <v>437</v>
      </c>
      <c r="E77" t="s">
        <v>1</v>
      </c>
      <c r="F77" t="s">
        <v>437</v>
      </c>
      <c r="G77">
        <v>120</v>
      </c>
      <c r="H77" t="s">
        <v>2</v>
      </c>
      <c r="I77" s="13">
        <v>1117994.1650459999</v>
      </c>
      <c r="J77">
        <v>0</v>
      </c>
      <c r="K77">
        <v>1</v>
      </c>
      <c r="L77">
        <v>0</v>
      </c>
      <c r="M77">
        <v>104</v>
      </c>
      <c r="N77" s="16">
        <f t="shared" si="5"/>
        <v>1117994.1650459999</v>
      </c>
      <c r="O77" s="16">
        <f t="shared" si="6"/>
        <v>1117994.1650459999</v>
      </c>
      <c r="Q77" s="7">
        <f t="shared" si="4"/>
        <v>193</v>
      </c>
      <c r="R77" s="7">
        <v>20251231</v>
      </c>
    </row>
    <row r="78" spans="1:18" ht="18.600000000000001">
      <c r="A78" t="s">
        <v>417</v>
      </c>
      <c r="B78" s="11" t="s">
        <v>323</v>
      </c>
      <c r="C78" t="s">
        <v>436</v>
      </c>
      <c r="D78" t="s">
        <v>437</v>
      </c>
      <c r="E78" t="s">
        <v>1</v>
      </c>
      <c r="F78" t="s">
        <v>437</v>
      </c>
      <c r="G78">
        <v>120</v>
      </c>
      <c r="H78" t="s">
        <v>2</v>
      </c>
      <c r="I78" s="13">
        <v>1117994.1650459999</v>
      </c>
      <c r="J78">
        <v>0</v>
      </c>
      <c r="K78">
        <v>1</v>
      </c>
      <c r="L78">
        <v>0</v>
      </c>
      <c r="M78">
        <v>104</v>
      </c>
      <c r="N78" s="16">
        <f t="shared" si="5"/>
        <v>1117994.1650459999</v>
      </c>
      <c r="O78" s="16">
        <f t="shared" si="6"/>
        <v>1117994.1650459999</v>
      </c>
      <c r="Q78" s="7">
        <f t="shared" si="4"/>
        <v>193</v>
      </c>
      <c r="R78" s="7">
        <v>20251231</v>
      </c>
    </row>
    <row r="79" spans="1:18" ht="18.600000000000001">
      <c r="A79" t="s">
        <v>418</v>
      </c>
      <c r="B79" s="11" t="s">
        <v>324</v>
      </c>
      <c r="C79" t="s">
        <v>436</v>
      </c>
      <c r="D79" t="s">
        <v>437</v>
      </c>
      <c r="E79" t="s">
        <v>1</v>
      </c>
      <c r="F79" t="s">
        <v>437</v>
      </c>
      <c r="G79">
        <v>120</v>
      </c>
      <c r="H79" t="s">
        <v>2</v>
      </c>
      <c r="I79" s="13">
        <v>46818010.503158398</v>
      </c>
      <c r="J79">
        <v>0</v>
      </c>
      <c r="K79">
        <v>1</v>
      </c>
      <c r="L79">
        <v>0</v>
      </c>
      <c r="M79">
        <v>104</v>
      </c>
      <c r="N79" s="16">
        <f t="shared" si="5"/>
        <v>46818010.503158398</v>
      </c>
      <c r="O79" s="16">
        <f t="shared" si="6"/>
        <v>46818010.503158398</v>
      </c>
      <c r="Q79" s="7">
        <f t="shared" si="4"/>
        <v>193</v>
      </c>
      <c r="R79" s="7">
        <v>20251231</v>
      </c>
    </row>
    <row r="80" spans="1:18" ht="18.600000000000001">
      <c r="A80" t="s">
        <v>419</v>
      </c>
      <c r="B80" s="11" t="s">
        <v>325</v>
      </c>
      <c r="C80" t="s">
        <v>436</v>
      </c>
      <c r="D80" t="s">
        <v>437</v>
      </c>
      <c r="E80" t="s">
        <v>1</v>
      </c>
      <c r="F80" t="s">
        <v>437</v>
      </c>
      <c r="G80">
        <v>120</v>
      </c>
      <c r="H80" t="s">
        <v>2</v>
      </c>
      <c r="I80" s="13">
        <v>11032007.907777119</v>
      </c>
      <c r="J80">
        <v>0</v>
      </c>
      <c r="K80">
        <v>1</v>
      </c>
      <c r="L80">
        <v>0</v>
      </c>
      <c r="M80">
        <v>104</v>
      </c>
      <c r="N80" s="16">
        <f t="shared" si="5"/>
        <v>11032007.907777119</v>
      </c>
      <c r="O80" s="16">
        <f t="shared" si="6"/>
        <v>11032007.907777119</v>
      </c>
      <c r="Q80" s="7">
        <f t="shared" si="4"/>
        <v>193</v>
      </c>
      <c r="R80" s="7">
        <v>20251231</v>
      </c>
    </row>
    <row r="81" spans="1:18" ht="18.600000000000001">
      <c r="A81" t="s">
        <v>420</v>
      </c>
      <c r="B81" s="11" t="s">
        <v>326</v>
      </c>
      <c r="C81" t="s">
        <v>436</v>
      </c>
      <c r="D81" t="s">
        <v>437</v>
      </c>
      <c r="E81" t="s">
        <v>1</v>
      </c>
      <c r="F81" t="s">
        <v>437</v>
      </c>
      <c r="G81">
        <v>120</v>
      </c>
      <c r="H81" t="s">
        <v>2</v>
      </c>
      <c r="I81" s="13">
        <v>6702115.5693280809</v>
      </c>
      <c r="J81">
        <v>0</v>
      </c>
      <c r="K81">
        <v>1</v>
      </c>
      <c r="L81">
        <v>0</v>
      </c>
      <c r="M81">
        <v>104</v>
      </c>
      <c r="N81" s="16">
        <f t="shared" si="5"/>
        <v>6702115.5693280809</v>
      </c>
      <c r="O81" s="16">
        <f t="shared" si="6"/>
        <v>6702115.5693280809</v>
      </c>
      <c r="Q81" s="7">
        <f t="shared" si="4"/>
        <v>193</v>
      </c>
      <c r="R81" s="7">
        <v>20251231</v>
      </c>
    </row>
    <row r="82" spans="1:18" ht="18.600000000000001">
      <c r="A82" t="s">
        <v>421</v>
      </c>
      <c r="B82" s="11" t="s">
        <v>327</v>
      </c>
      <c r="C82" t="s">
        <v>436</v>
      </c>
      <c r="D82" t="s">
        <v>437</v>
      </c>
      <c r="E82" t="s">
        <v>1</v>
      </c>
      <c r="F82" t="s">
        <v>437</v>
      </c>
      <c r="G82">
        <v>120</v>
      </c>
      <c r="H82" t="s">
        <v>2</v>
      </c>
      <c r="I82" s="13">
        <v>6985906.8308013603</v>
      </c>
      <c r="J82">
        <v>0</v>
      </c>
      <c r="K82">
        <v>1</v>
      </c>
      <c r="L82">
        <v>0</v>
      </c>
      <c r="M82">
        <v>104</v>
      </c>
      <c r="N82" s="16">
        <f t="shared" si="5"/>
        <v>6985906.8308013603</v>
      </c>
      <c r="O82" s="16">
        <f t="shared" si="6"/>
        <v>6985906.8308013603</v>
      </c>
      <c r="Q82" s="7">
        <f t="shared" si="4"/>
        <v>193</v>
      </c>
      <c r="R82" s="7">
        <v>20251231</v>
      </c>
    </row>
    <row r="83" spans="1:18" ht="18.600000000000001">
      <c r="A83" t="s">
        <v>422</v>
      </c>
      <c r="B83" s="11" t="s">
        <v>328</v>
      </c>
      <c r="C83" t="s">
        <v>436</v>
      </c>
      <c r="D83" t="s">
        <v>437</v>
      </c>
      <c r="E83" t="s">
        <v>1</v>
      </c>
      <c r="F83" t="s">
        <v>437</v>
      </c>
      <c r="G83">
        <v>120</v>
      </c>
      <c r="H83" t="s">
        <v>2</v>
      </c>
      <c r="I83" s="13">
        <v>26218048.143569041</v>
      </c>
      <c r="J83">
        <v>0</v>
      </c>
      <c r="K83">
        <v>1</v>
      </c>
      <c r="L83">
        <v>0</v>
      </c>
      <c r="M83">
        <v>104</v>
      </c>
      <c r="N83" s="16">
        <f t="shared" si="5"/>
        <v>26218048.143569041</v>
      </c>
      <c r="O83" s="16">
        <f t="shared" si="6"/>
        <v>26218048.143569041</v>
      </c>
      <c r="Q83" s="7">
        <f t="shared" si="4"/>
        <v>193</v>
      </c>
      <c r="R83" s="7">
        <v>20251231</v>
      </c>
    </row>
    <row r="84" spans="1:18" ht="18.600000000000001">
      <c r="A84" t="s">
        <v>423</v>
      </c>
      <c r="B84" s="11" t="s">
        <v>329</v>
      </c>
      <c r="C84" t="s">
        <v>436</v>
      </c>
      <c r="D84" t="s">
        <v>437</v>
      </c>
      <c r="E84" t="s">
        <v>1</v>
      </c>
      <c r="F84" t="s">
        <v>437</v>
      </c>
      <c r="G84">
        <v>120</v>
      </c>
      <c r="H84" t="s">
        <v>2</v>
      </c>
      <c r="I84" s="13">
        <v>15322275.13657896</v>
      </c>
      <c r="J84">
        <v>0</v>
      </c>
      <c r="K84">
        <v>1</v>
      </c>
      <c r="L84">
        <v>0</v>
      </c>
      <c r="M84">
        <v>104</v>
      </c>
      <c r="N84" s="16">
        <f t="shared" si="5"/>
        <v>15322275.13657896</v>
      </c>
      <c r="O84" s="16">
        <f t="shared" si="6"/>
        <v>15322275.13657896</v>
      </c>
      <c r="Q84" s="7">
        <f t="shared" si="4"/>
        <v>193</v>
      </c>
      <c r="R84" s="7">
        <v>20251231</v>
      </c>
    </row>
    <row r="85" spans="1:18" ht="18.600000000000001">
      <c r="A85" t="s">
        <v>424</v>
      </c>
      <c r="B85" s="11" t="s">
        <v>330</v>
      </c>
      <c r="C85" t="s">
        <v>436</v>
      </c>
      <c r="D85" t="s">
        <v>438</v>
      </c>
      <c r="E85" t="s">
        <v>1</v>
      </c>
      <c r="F85" t="s">
        <v>438</v>
      </c>
      <c r="G85">
        <v>120</v>
      </c>
      <c r="H85" t="s">
        <v>2</v>
      </c>
      <c r="I85" s="13">
        <v>6172128</v>
      </c>
      <c r="J85">
        <v>0</v>
      </c>
      <c r="K85">
        <v>1</v>
      </c>
      <c r="L85">
        <v>0</v>
      </c>
      <c r="M85">
        <v>104</v>
      </c>
      <c r="N85" s="16">
        <f t="shared" si="5"/>
        <v>6172128</v>
      </c>
      <c r="O85" s="16">
        <f t="shared" si="6"/>
        <v>6172128</v>
      </c>
      <c r="Q85" s="7">
        <f t="shared" si="4"/>
        <v>191</v>
      </c>
      <c r="R85" s="7">
        <v>20251231</v>
      </c>
    </row>
    <row r="86" spans="1:18" ht="18.600000000000001">
      <c r="A86" t="s">
        <v>425</v>
      </c>
      <c r="B86" s="11" t="s">
        <v>331</v>
      </c>
      <c r="C86" t="s">
        <v>436</v>
      </c>
      <c r="D86" t="s">
        <v>438</v>
      </c>
      <c r="E86" t="s">
        <v>1</v>
      </c>
      <c r="F86" t="s">
        <v>438</v>
      </c>
      <c r="G86">
        <v>120</v>
      </c>
      <c r="H86" t="s">
        <v>2</v>
      </c>
      <c r="I86" s="13">
        <v>8069880</v>
      </c>
      <c r="J86">
        <v>0</v>
      </c>
      <c r="K86">
        <v>1</v>
      </c>
      <c r="L86">
        <v>0</v>
      </c>
      <c r="M86">
        <v>104</v>
      </c>
      <c r="N86" s="16">
        <f t="shared" si="5"/>
        <v>8069880</v>
      </c>
      <c r="O86" s="16">
        <f t="shared" si="6"/>
        <v>8069880</v>
      </c>
      <c r="Q86" s="7">
        <f t="shared" si="4"/>
        <v>191</v>
      </c>
      <c r="R86" s="7">
        <v>20251231</v>
      </c>
    </row>
    <row r="87" spans="1:18" ht="18.600000000000001">
      <c r="A87" t="s">
        <v>426</v>
      </c>
      <c r="B87" s="11" t="s">
        <v>330</v>
      </c>
      <c r="C87" t="s">
        <v>436</v>
      </c>
      <c r="D87" t="s">
        <v>439</v>
      </c>
      <c r="E87" t="s">
        <v>1</v>
      </c>
      <c r="F87" t="s">
        <v>439</v>
      </c>
      <c r="G87">
        <v>120</v>
      </c>
      <c r="H87" t="s">
        <v>2</v>
      </c>
      <c r="I87" s="13">
        <v>435290.61946902599</v>
      </c>
      <c r="J87">
        <v>0</v>
      </c>
      <c r="K87">
        <v>1</v>
      </c>
      <c r="L87">
        <v>0</v>
      </c>
      <c r="M87">
        <v>104</v>
      </c>
      <c r="N87" s="16">
        <f t="shared" si="5"/>
        <v>435290.61946902599</v>
      </c>
      <c r="O87" s="16">
        <f t="shared" si="6"/>
        <v>435290.61946902599</v>
      </c>
      <c r="Q87" s="7">
        <f t="shared" si="4"/>
        <v>191</v>
      </c>
      <c r="R87" s="7">
        <v>20251231</v>
      </c>
    </row>
    <row r="88" spans="1:18" ht="18.600000000000001">
      <c r="A88" t="s">
        <v>427</v>
      </c>
      <c r="B88" s="11" t="s">
        <v>332</v>
      </c>
      <c r="C88" t="s">
        <v>436</v>
      </c>
      <c r="D88" t="s">
        <v>438</v>
      </c>
      <c r="E88" t="s">
        <v>1</v>
      </c>
      <c r="F88" t="s">
        <v>438</v>
      </c>
      <c r="G88">
        <v>120</v>
      </c>
      <c r="H88" t="s">
        <v>2</v>
      </c>
      <c r="I88" s="13">
        <v>3192480</v>
      </c>
      <c r="J88">
        <v>0</v>
      </c>
      <c r="K88">
        <v>1</v>
      </c>
      <c r="L88">
        <v>0</v>
      </c>
      <c r="M88">
        <v>104</v>
      </c>
      <c r="N88" s="16">
        <f t="shared" si="5"/>
        <v>3192480</v>
      </c>
      <c r="O88" s="16">
        <f t="shared" si="6"/>
        <v>3192480</v>
      </c>
      <c r="Q88" s="7">
        <f t="shared" si="4"/>
        <v>191</v>
      </c>
      <c r="R88" s="7">
        <v>20251231</v>
      </c>
    </row>
    <row r="89" spans="1:18" ht="18.600000000000001">
      <c r="A89" t="s">
        <v>428</v>
      </c>
      <c r="B89" s="11" t="s">
        <v>333</v>
      </c>
      <c r="C89" t="s">
        <v>436</v>
      </c>
      <c r="D89" t="s">
        <v>438</v>
      </c>
      <c r="E89" t="s">
        <v>1</v>
      </c>
      <c r="F89" t="s">
        <v>438</v>
      </c>
      <c r="G89">
        <v>120</v>
      </c>
      <c r="H89" t="s">
        <v>2</v>
      </c>
      <c r="I89" s="13">
        <v>1241520</v>
      </c>
      <c r="J89">
        <v>0</v>
      </c>
      <c r="K89">
        <v>1</v>
      </c>
      <c r="L89">
        <v>0</v>
      </c>
      <c r="M89">
        <v>104</v>
      </c>
      <c r="N89" s="16">
        <f t="shared" si="5"/>
        <v>1241520</v>
      </c>
      <c r="O89" s="16">
        <f t="shared" si="6"/>
        <v>1241520</v>
      </c>
      <c r="Q89" s="7">
        <f t="shared" si="4"/>
        <v>191</v>
      </c>
      <c r="R89" s="7">
        <v>20251231</v>
      </c>
    </row>
    <row r="90" spans="1:18" ht="18.600000000000001">
      <c r="A90" t="s">
        <v>429</v>
      </c>
      <c r="B90" s="11" t="s">
        <v>334</v>
      </c>
      <c r="C90" t="s">
        <v>436</v>
      </c>
      <c r="D90" t="s">
        <v>438</v>
      </c>
      <c r="E90" t="s">
        <v>1</v>
      </c>
      <c r="F90" t="s">
        <v>438</v>
      </c>
      <c r="G90">
        <v>120</v>
      </c>
      <c r="H90" t="s">
        <v>2</v>
      </c>
      <c r="I90" s="13">
        <v>2057376</v>
      </c>
      <c r="J90">
        <v>0</v>
      </c>
      <c r="K90">
        <v>1</v>
      </c>
      <c r="L90">
        <v>0</v>
      </c>
      <c r="M90">
        <v>104</v>
      </c>
      <c r="N90" s="16">
        <f t="shared" si="5"/>
        <v>2057376</v>
      </c>
      <c r="O90" s="16">
        <f t="shared" si="6"/>
        <v>2057376</v>
      </c>
      <c r="Q90" s="7">
        <f t="shared" si="4"/>
        <v>191</v>
      </c>
      <c r="R90" s="7">
        <v>20251231</v>
      </c>
    </row>
    <row r="91" spans="1:18" ht="18.600000000000001">
      <c r="A91" t="s">
        <v>430</v>
      </c>
      <c r="B91" s="11" t="s">
        <v>335</v>
      </c>
      <c r="C91" t="s">
        <v>436</v>
      </c>
      <c r="D91" t="s">
        <v>440</v>
      </c>
      <c r="E91" t="s">
        <v>1</v>
      </c>
      <c r="F91" t="s">
        <v>440</v>
      </c>
      <c r="G91">
        <v>120</v>
      </c>
      <c r="H91" t="s">
        <v>2</v>
      </c>
      <c r="I91" s="13">
        <v>1976677.2</v>
      </c>
      <c r="J91">
        <v>0</v>
      </c>
      <c r="K91">
        <v>1</v>
      </c>
      <c r="L91">
        <v>0</v>
      </c>
      <c r="M91">
        <v>104</v>
      </c>
      <c r="N91" s="16">
        <f t="shared" si="5"/>
        <v>1976677.2</v>
      </c>
      <c r="O91" s="16">
        <f t="shared" si="6"/>
        <v>1976677.2</v>
      </c>
      <c r="Q91" s="7">
        <f t="shared" si="4"/>
        <v>161</v>
      </c>
      <c r="R91" s="7">
        <v>20251231</v>
      </c>
    </row>
    <row r="92" spans="1:18" ht="18.600000000000001">
      <c r="A92" t="s">
        <v>431</v>
      </c>
      <c r="B92" s="11" t="s">
        <v>336</v>
      </c>
      <c r="C92" t="s">
        <v>436</v>
      </c>
      <c r="D92" t="s">
        <v>441</v>
      </c>
      <c r="E92" t="s">
        <v>1</v>
      </c>
      <c r="F92" t="s">
        <v>441</v>
      </c>
      <c r="G92">
        <v>120</v>
      </c>
      <c r="H92" t="s">
        <v>2</v>
      </c>
      <c r="I92" s="13">
        <v>1711701.36</v>
      </c>
      <c r="J92">
        <v>0</v>
      </c>
      <c r="K92">
        <v>1</v>
      </c>
      <c r="L92">
        <v>0</v>
      </c>
      <c r="M92">
        <v>104</v>
      </c>
      <c r="N92" s="16">
        <f t="shared" si="5"/>
        <v>1711701.36</v>
      </c>
      <c r="O92" s="16">
        <f t="shared" si="6"/>
        <v>1711701.36</v>
      </c>
      <c r="Q92" s="7">
        <f t="shared" si="4"/>
        <v>160</v>
      </c>
      <c r="R92" s="7">
        <v>20251231</v>
      </c>
    </row>
    <row r="93" spans="1:18" ht="18.600000000000001">
      <c r="A93" t="s">
        <v>432</v>
      </c>
      <c r="B93" s="11" t="s">
        <v>337</v>
      </c>
      <c r="C93" t="s">
        <v>436</v>
      </c>
      <c r="D93" t="s">
        <v>442</v>
      </c>
      <c r="E93" t="s">
        <v>1</v>
      </c>
      <c r="F93" t="s">
        <v>442</v>
      </c>
      <c r="G93">
        <v>120</v>
      </c>
      <c r="H93" t="s">
        <v>2</v>
      </c>
      <c r="I93" s="13">
        <v>10146410.880000001</v>
      </c>
      <c r="J93">
        <v>0</v>
      </c>
      <c r="K93">
        <v>1</v>
      </c>
      <c r="L93">
        <v>0</v>
      </c>
      <c r="M93">
        <v>104</v>
      </c>
      <c r="N93" s="16">
        <f t="shared" si="5"/>
        <v>10146410.880000001</v>
      </c>
      <c r="O93" s="16">
        <f t="shared" si="6"/>
        <v>10146410.880000001</v>
      </c>
      <c r="Q93" s="7">
        <f t="shared" si="4"/>
        <v>156</v>
      </c>
      <c r="R93" s="7">
        <v>20251231</v>
      </c>
    </row>
    <row r="94" spans="1:18" ht="18.600000000000001">
      <c r="A94" t="s">
        <v>433</v>
      </c>
      <c r="B94" s="11" t="s">
        <v>338</v>
      </c>
      <c r="C94" t="s">
        <v>436</v>
      </c>
      <c r="D94" t="s">
        <v>443</v>
      </c>
      <c r="E94" t="s">
        <v>1</v>
      </c>
      <c r="F94" t="s">
        <v>443</v>
      </c>
      <c r="G94">
        <v>120</v>
      </c>
      <c r="H94" t="s">
        <v>2</v>
      </c>
      <c r="I94" s="13">
        <v>7001818.0799999991</v>
      </c>
      <c r="J94">
        <v>0</v>
      </c>
      <c r="K94">
        <v>1</v>
      </c>
      <c r="L94">
        <v>0</v>
      </c>
      <c r="M94">
        <v>104</v>
      </c>
      <c r="N94" s="16">
        <f t="shared" si="5"/>
        <v>7001818.0799999991</v>
      </c>
      <c r="O94" s="16">
        <f t="shared" si="6"/>
        <v>7001818.0799999991</v>
      </c>
      <c r="Q94" s="7">
        <f t="shared" si="4"/>
        <v>142</v>
      </c>
      <c r="R94" s="7">
        <v>20251231</v>
      </c>
    </row>
    <row r="95" spans="1:18" ht="18.600000000000001">
      <c r="A95" t="s">
        <v>434</v>
      </c>
      <c r="B95" s="11" t="s">
        <v>339</v>
      </c>
      <c r="C95" t="s">
        <v>436</v>
      </c>
      <c r="D95" t="s">
        <v>444</v>
      </c>
      <c r="E95" t="s">
        <v>1</v>
      </c>
      <c r="F95" t="s">
        <v>444</v>
      </c>
      <c r="G95">
        <v>120</v>
      </c>
      <c r="H95" t="s">
        <v>2</v>
      </c>
      <c r="I95" s="13">
        <v>11422411.280000001</v>
      </c>
      <c r="J95">
        <v>0</v>
      </c>
      <c r="K95">
        <v>1</v>
      </c>
      <c r="L95">
        <v>0</v>
      </c>
      <c r="M95">
        <v>104</v>
      </c>
      <c r="N95" s="16">
        <f t="shared" si="5"/>
        <v>11422411.280000001</v>
      </c>
      <c r="O95" s="16">
        <f t="shared" si="6"/>
        <v>11422411.280000001</v>
      </c>
      <c r="Q95" s="7">
        <f t="shared" si="4"/>
        <v>126</v>
      </c>
      <c r="R95" s="7">
        <v>20251231</v>
      </c>
    </row>
  </sheetData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D418A-64C4-4408-A37A-B64D774DA6A8}">
  <dimension ref="A1:T67"/>
  <sheetViews>
    <sheetView workbookViewId="0">
      <selection activeCell="B19" sqref="B18:B19"/>
    </sheetView>
  </sheetViews>
  <sheetFormatPr defaultRowHeight="13.8"/>
  <cols>
    <col min="2" max="2" width="105.796875" customWidth="1"/>
    <col min="3" max="3" width="10.3984375" bestFit="1" customWidth="1"/>
    <col min="4" max="4" width="13.69921875" customWidth="1"/>
    <col min="5" max="5" width="15.09765625" bestFit="1" customWidth="1"/>
    <col min="6" max="6" width="19.296875" bestFit="1" customWidth="1"/>
    <col min="7" max="7" width="9.296875" bestFit="1" customWidth="1"/>
    <col min="8" max="8" width="15.3984375" bestFit="1" customWidth="1"/>
    <col min="9" max="9" width="12.69921875" bestFit="1" customWidth="1"/>
    <col min="10" max="10" width="12" bestFit="1" customWidth="1"/>
    <col min="11" max="11" width="12.296875" bestFit="1" customWidth="1"/>
    <col min="12" max="12" width="12.5" bestFit="1" customWidth="1"/>
    <col min="13" max="13" width="12.5" customWidth="1"/>
    <col min="14" max="14" width="9.796875" bestFit="1" customWidth="1"/>
    <col min="15" max="15" width="27.19921875" bestFit="1" customWidth="1"/>
    <col min="16" max="16" width="23.19921875" customWidth="1"/>
    <col min="17" max="17" width="12.69921875" bestFit="1" customWidth="1"/>
    <col min="18" max="18" width="18.5" customWidth="1"/>
  </cols>
  <sheetData>
    <row r="1" spans="1:20" s="10" customFormat="1" ht="15.6">
      <c r="A1" s="1" t="s">
        <v>131</v>
      </c>
      <c r="B1" s="1" t="s">
        <v>132</v>
      </c>
      <c r="C1" s="1" t="s">
        <v>133</v>
      </c>
      <c r="D1" s="8" t="s">
        <v>134</v>
      </c>
      <c r="E1" s="1" t="s">
        <v>135</v>
      </c>
      <c r="F1" s="1" t="s">
        <v>136</v>
      </c>
      <c r="G1" s="3" t="s">
        <v>137</v>
      </c>
      <c r="H1" s="1" t="s">
        <v>138</v>
      </c>
      <c r="I1" s="4" t="s">
        <v>139</v>
      </c>
      <c r="J1" s="1" t="s">
        <v>140</v>
      </c>
      <c r="K1" s="1" t="s">
        <v>141</v>
      </c>
      <c r="L1" s="1" t="s">
        <v>142</v>
      </c>
      <c r="M1" s="1"/>
      <c r="N1" s="1" t="s">
        <v>143</v>
      </c>
      <c r="O1" s="5" t="s">
        <v>144</v>
      </c>
      <c r="P1" s="5"/>
      <c r="Q1" s="6" t="s">
        <v>145</v>
      </c>
      <c r="R1" s="9" t="s">
        <v>146</v>
      </c>
    </row>
    <row r="2" spans="1:20" ht="18.600000000000001">
      <c r="A2" t="s">
        <v>492</v>
      </c>
      <c r="B2" s="23" t="s">
        <v>448</v>
      </c>
      <c r="C2" s="15" t="s">
        <v>447</v>
      </c>
      <c r="D2" s="20" t="s">
        <v>556</v>
      </c>
      <c r="E2" t="s">
        <v>1</v>
      </c>
      <c r="F2" s="20" t="s">
        <v>556</v>
      </c>
      <c r="G2" s="21">
        <v>60</v>
      </c>
      <c r="H2" t="s">
        <v>2</v>
      </c>
      <c r="I2" s="22">
        <v>2050000</v>
      </c>
      <c r="J2">
        <v>0</v>
      </c>
      <c r="K2">
        <v>1</v>
      </c>
      <c r="L2">
        <f>G2-S2</f>
        <v>46</v>
      </c>
      <c r="M2">
        <f>L2-1</f>
        <v>45</v>
      </c>
      <c r="N2">
        <v>104</v>
      </c>
      <c r="O2">
        <v>489753.42465753423</v>
      </c>
      <c r="P2">
        <f>ROUND(O2, 2)</f>
        <v>489753.42</v>
      </c>
      <c r="Q2" s="22">
        <v>2050000</v>
      </c>
      <c r="R2" s="30" t="s">
        <v>662</v>
      </c>
      <c r="S2" s="7">
        <f>DATEDIF(DATE(LEFT(D2,4),MID(D2,5,2),MID(D2,7,2)), DATE(LEFT(T2,4),MID(T2,5,2),MID(T2,7,2)),"m")</f>
        <v>14</v>
      </c>
      <c r="T2" s="7">
        <v>20251231</v>
      </c>
    </row>
    <row r="3" spans="1:20" ht="18.600000000000001">
      <c r="A3" t="s">
        <v>493</v>
      </c>
      <c r="B3" s="23" t="s">
        <v>449</v>
      </c>
      <c r="C3" s="15" t="s">
        <v>599</v>
      </c>
      <c r="D3" t="s">
        <v>557</v>
      </c>
      <c r="E3" t="s">
        <v>1</v>
      </c>
      <c r="F3" t="s">
        <v>557</v>
      </c>
      <c r="G3" s="21">
        <v>60</v>
      </c>
      <c r="H3" t="s">
        <v>2</v>
      </c>
      <c r="I3" s="22">
        <v>3528800</v>
      </c>
      <c r="J3">
        <v>0</v>
      </c>
      <c r="K3">
        <v>1</v>
      </c>
      <c r="L3">
        <f t="shared" ref="L3:L65" si="0">G3-S3</f>
        <v>46</v>
      </c>
      <c r="M3">
        <f t="shared" ref="M3:M65" si="1">L3-1</f>
        <v>45</v>
      </c>
      <c r="N3">
        <v>104</v>
      </c>
      <c r="O3">
        <v>866247.89041095891</v>
      </c>
      <c r="P3">
        <f t="shared" ref="P3:P65" si="2">ROUND(O3, 2)</f>
        <v>866247.89</v>
      </c>
      <c r="Q3" s="22">
        <v>3528800</v>
      </c>
      <c r="R3" s="30" t="s">
        <v>663</v>
      </c>
      <c r="S3" s="7">
        <f t="shared" ref="S3:S65" si="3">DATEDIF(DATE(LEFT(D3,4),MID(D3,5,2),MID(D3,7,2)), DATE(LEFT(T3,4),MID(T3,5,2),MID(T3,7,2)),"m")</f>
        <v>14</v>
      </c>
      <c r="T3" s="7">
        <v>20251231</v>
      </c>
    </row>
    <row r="4" spans="1:20" ht="18.600000000000001">
      <c r="A4" t="s">
        <v>494</v>
      </c>
      <c r="B4" s="23" t="s">
        <v>450</v>
      </c>
      <c r="C4" s="15" t="s">
        <v>600</v>
      </c>
      <c r="D4" t="s">
        <v>558</v>
      </c>
      <c r="E4" t="s">
        <v>1</v>
      </c>
      <c r="F4" t="s">
        <v>558</v>
      </c>
      <c r="G4" s="21">
        <v>60</v>
      </c>
      <c r="H4" t="s">
        <v>2</v>
      </c>
      <c r="I4" s="22">
        <v>19822000</v>
      </c>
      <c r="J4">
        <v>0</v>
      </c>
      <c r="K4">
        <v>1</v>
      </c>
      <c r="L4">
        <f t="shared" si="0"/>
        <v>41</v>
      </c>
      <c r="M4">
        <f t="shared" si="1"/>
        <v>40</v>
      </c>
      <c r="N4">
        <v>104</v>
      </c>
      <c r="O4">
        <v>6299594.5205479451</v>
      </c>
      <c r="P4">
        <f t="shared" si="2"/>
        <v>6299594.5199999996</v>
      </c>
      <c r="Q4" s="22">
        <v>19822000</v>
      </c>
      <c r="R4" s="30" t="s">
        <v>664</v>
      </c>
      <c r="S4" s="7">
        <f t="shared" si="3"/>
        <v>19</v>
      </c>
      <c r="T4" s="7">
        <v>20251231</v>
      </c>
    </row>
    <row r="5" spans="1:20" ht="18.600000000000001">
      <c r="A5" t="s">
        <v>495</v>
      </c>
      <c r="B5" s="23" t="s">
        <v>451</v>
      </c>
      <c r="C5" s="15" t="s">
        <v>601</v>
      </c>
      <c r="D5" t="s">
        <v>558</v>
      </c>
      <c r="E5" t="s">
        <v>1</v>
      </c>
      <c r="F5" t="s">
        <v>558</v>
      </c>
      <c r="G5" s="21">
        <v>60</v>
      </c>
      <c r="H5" t="s">
        <v>2</v>
      </c>
      <c r="I5" s="22">
        <v>6875000</v>
      </c>
      <c r="J5">
        <v>0</v>
      </c>
      <c r="K5">
        <v>1</v>
      </c>
      <c r="L5">
        <f t="shared" si="0"/>
        <v>41</v>
      </c>
      <c r="M5">
        <f t="shared" si="1"/>
        <v>40</v>
      </c>
      <c r="N5">
        <v>104</v>
      </c>
      <c r="O5">
        <v>2184931.506849315</v>
      </c>
      <c r="P5">
        <f t="shared" si="2"/>
        <v>2184931.5099999998</v>
      </c>
      <c r="Q5" s="22">
        <v>6875000</v>
      </c>
      <c r="R5" s="30" t="s">
        <v>665</v>
      </c>
      <c r="S5" s="7">
        <f t="shared" si="3"/>
        <v>19</v>
      </c>
      <c r="T5" s="7">
        <v>20251231</v>
      </c>
    </row>
    <row r="6" spans="1:20" ht="18.600000000000001">
      <c r="A6" t="s">
        <v>496</v>
      </c>
      <c r="B6" s="23" t="s">
        <v>452</v>
      </c>
      <c r="C6" s="15" t="s">
        <v>602</v>
      </c>
      <c r="D6" t="s">
        <v>559</v>
      </c>
      <c r="E6" t="s">
        <v>1</v>
      </c>
      <c r="F6" t="s">
        <v>559</v>
      </c>
      <c r="G6" s="21">
        <v>60</v>
      </c>
      <c r="H6" t="s">
        <v>2</v>
      </c>
      <c r="I6" s="22">
        <v>3568208</v>
      </c>
      <c r="J6">
        <v>0</v>
      </c>
      <c r="K6">
        <v>1</v>
      </c>
      <c r="L6">
        <f t="shared" si="0"/>
        <v>37</v>
      </c>
      <c r="M6">
        <f t="shared" si="1"/>
        <v>36</v>
      </c>
      <c r="N6">
        <v>104</v>
      </c>
      <c r="O6">
        <v>1386224.3682191779</v>
      </c>
      <c r="P6">
        <f t="shared" si="2"/>
        <v>1386224.37</v>
      </c>
      <c r="Q6" s="22">
        <v>3568208</v>
      </c>
      <c r="R6" s="30" t="s">
        <v>666</v>
      </c>
      <c r="S6" s="7">
        <f t="shared" si="3"/>
        <v>23</v>
      </c>
      <c r="T6" s="7">
        <v>20251231</v>
      </c>
    </row>
    <row r="7" spans="1:20" ht="18.600000000000001">
      <c r="A7" t="s">
        <v>497</v>
      </c>
      <c r="B7" s="23" t="s">
        <v>453</v>
      </c>
      <c r="C7" s="15" t="s">
        <v>603</v>
      </c>
      <c r="D7" t="s">
        <v>559</v>
      </c>
      <c r="E7" t="s">
        <v>1</v>
      </c>
      <c r="F7" t="s">
        <v>559</v>
      </c>
      <c r="G7" s="21">
        <v>60</v>
      </c>
      <c r="H7" t="s">
        <v>2</v>
      </c>
      <c r="I7" s="22">
        <v>3568208</v>
      </c>
      <c r="J7">
        <v>0</v>
      </c>
      <c r="K7">
        <v>1</v>
      </c>
      <c r="L7">
        <f t="shared" si="0"/>
        <v>37</v>
      </c>
      <c r="M7">
        <f t="shared" si="1"/>
        <v>36</v>
      </c>
      <c r="N7">
        <v>104</v>
      </c>
      <c r="O7">
        <v>1386224.3682191779</v>
      </c>
      <c r="P7">
        <f t="shared" si="2"/>
        <v>1386224.37</v>
      </c>
      <c r="Q7" s="22">
        <v>3568208</v>
      </c>
      <c r="R7" s="30" t="s">
        <v>667</v>
      </c>
      <c r="S7" s="7">
        <f t="shared" si="3"/>
        <v>23</v>
      </c>
      <c r="T7" s="7">
        <v>20251231</v>
      </c>
    </row>
    <row r="8" spans="1:20" ht="18.600000000000001">
      <c r="A8" t="s">
        <v>498</v>
      </c>
      <c r="B8" s="23" t="s">
        <v>454</v>
      </c>
      <c r="C8" s="15" t="s">
        <v>604</v>
      </c>
      <c r="D8" t="s">
        <v>557</v>
      </c>
      <c r="E8" t="s">
        <v>1</v>
      </c>
      <c r="F8" t="s">
        <v>557</v>
      </c>
      <c r="G8" s="21">
        <v>60</v>
      </c>
      <c r="H8" t="s">
        <v>2</v>
      </c>
      <c r="I8" s="22">
        <v>9630500</v>
      </c>
      <c r="J8">
        <v>0</v>
      </c>
      <c r="K8">
        <v>1</v>
      </c>
      <c r="L8">
        <f t="shared" si="0"/>
        <v>46</v>
      </c>
      <c r="M8">
        <f t="shared" si="1"/>
        <v>45</v>
      </c>
      <c r="N8">
        <v>104</v>
      </c>
      <c r="O8">
        <v>2364089.8630136987</v>
      </c>
      <c r="P8">
        <f t="shared" si="2"/>
        <v>2364089.86</v>
      </c>
      <c r="Q8" s="22">
        <v>9630500</v>
      </c>
      <c r="R8" s="30" t="s">
        <v>668</v>
      </c>
      <c r="S8" s="7">
        <f t="shared" si="3"/>
        <v>14</v>
      </c>
      <c r="T8" s="7">
        <v>20251231</v>
      </c>
    </row>
    <row r="9" spans="1:20" ht="18.600000000000001">
      <c r="A9" t="s">
        <v>499</v>
      </c>
      <c r="B9" s="23" t="s">
        <v>455</v>
      </c>
      <c r="C9" s="15" t="s">
        <v>605</v>
      </c>
      <c r="D9" t="s">
        <v>560</v>
      </c>
      <c r="E9" t="s">
        <v>1</v>
      </c>
      <c r="F9" t="s">
        <v>560</v>
      </c>
      <c r="G9" s="21">
        <v>60</v>
      </c>
      <c r="H9" t="s">
        <v>2</v>
      </c>
      <c r="I9" s="22">
        <v>5491924.7999999998</v>
      </c>
      <c r="J9">
        <v>0</v>
      </c>
      <c r="K9">
        <v>1</v>
      </c>
      <c r="L9">
        <f t="shared" si="0"/>
        <v>38</v>
      </c>
      <c r="M9">
        <f t="shared" si="1"/>
        <v>37</v>
      </c>
      <c r="N9">
        <v>104</v>
      </c>
      <c r="O9">
        <v>2028250.5836712327</v>
      </c>
      <c r="P9">
        <f t="shared" si="2"/>
        <v>2028250.58</v>
      </c>
      <c r="Q9" s="22">
        <v>5491924.7999999998</v>
      </c>
      <c r="R9" s="30" t="s">
        <v>669</v>
      </c>
      <c r="S9" s="7">
        <f t="shared" si="3"/>
        <v>22</v>
      </c>
      <c r="T9" s="7">
        <v>20251231</v>
      </c>
    </row>
    <row r="10" spans="1:20" ht="18.600000000000001">
      <c r="A10" t="s">
        <v>500</v>
      </c>
      <c r="B10" s="23" t="s">
        <v>456</v>
      </c>
      <c r="C10" s="15" t="s">
        <v>606</v>
      </c>
      <c r="D10" t="s">
        <v>561</v>
      </c>
      <c r="E10" t="s">
        <v>1</v>
      </c>
      <c r="F10" t="s">
        <v>561</v>
      </c>
      <c r="G10" s="21">
        <v>60</v>
      </c>
      <c r="H10" t="s">
        <v>2</v>
      </c>
      <c r="I10" s="22">
        <v>3116300</v>
      </c>
      <c r="J10">
        <v>0</v>
      </c>
      <c r="K10">
        <v>1</v>
      </c>
      <c r="L10">
        <f t="shared" si="0"/>
        <v>41</v>
      </c>
      <c r="M10">
        <f t="shared" si="1"/>
        <v>40</v>
      </c>
      <c r="N10">
        <v>104</v>
      </c>
      <c r="O10">
        <v>1002338.6849315068</v>
      </c>
      <c r="P10">
        <f t="shared" si="2"/>
        <v>1002338.68</v>
      </c>
      <c r="Q10" s="22">
        <v>3116300</v>
      </c>
      <c r="R10" s="30" t="s">
        <v>670</v>
      </c>
      <c r="S10" s="7">
        <f t="shared" si="3"/>
        <v>19</v>
      </c>
      <c r="T10" s="7">
        <v>20251231</v>
      </c>
    </row>
    <row r="11" spans="1:20" ht="18.600000000000001">
      <c r="A11" t="s">
        <v>501</v>
      </c>
      <c r="B11" s="23" t="s">
        <v>456</v>
      </c>
      <c r="C11" s="15" t="s">
        <v>607</v>
      </c>
      <c r="D11" t="s">
        <v>561</v>
      </c>
      <c r="E11" t="s">
        <v>1</v>
      </c>
      <c r="F11" t="s">
        <v>561</v>
      </c>
      <c r="G11" s="21">
        <v>60</v>
      </c>
      <c r="H11" t="s">
        <v>2</v>
      </c>
      <c r="I11" s="22">
        <v>3116300</v>
      </c>
      <c r="J11">
        <v>0</v>
      </c>
      <c r="K11">
        <v>1</v>
      </c>
      <c r="L11">
        <f t="shared" si="0"/>
        <v>41</v>
      </c>
      <c r="M11">
        <f t="shared" si="1"/>
        <v>40</v>
      </c>
      <c r="N11">
        <v>104</v>
      </c>
      <c r="O11">
        <v>1002338.6849315068</v>
      </c>
      <c r="P11">
        <f t="shared" si="2"/>
        <v>1002338.68</v>
      </c>
      <c r="Q11" s="22">
        <v>3116300</v>
      </c>
      <c r="R11" s="30" t="s">
        <v>671</v>
      </c>
      <c r="S11" s="7">
        <f t="shared" si="3"/>
        <v>19</v>
      </c>
      <c r="T11" s="7">
        <v>20251231</v>
      </c>
    </row>
    <row r="12" spans="1:20" ht="18.600000000000001">
      <c r="A12" t="s">
        <v>502</v>
      </c>
      <c r="B12" s="23" t="s">
        <v>457</v>
      </c>
      <c r="C12" s="15" t="s">
        <v>608</v>
      </c>
      <c r="D12" t="s">
        <v>562</v>
      </c>
      <c r="E12" t="s">
        <v>1</v>
      </c>
      <c r="F12" t="s">
        <v>562</v>
      </c>
      <c r="G12" s="21">
        <v>60</v>
      </c>
      <c r="H12" t="s">
        <v>2</v>
      </c>
      <c r="I12" s="22">
        <v>2199000</v>
      </c>
      <c r="J12">
        <v>0</v>
      </c>
      <c r="K12">
        <v>1</v>
      </c>
      <c r="L12">
        <f t="shared" si="0"/>
        <v>47</v>
      </c>
      <c r="M12">
        <f t="shared" si="1"/>
        <v>46</v>
      </c>
      <c r="N12">
        <v>104</v>
      </c>
      <c r="O12">
        <v>508481.095890411</v>
      </c>
      <c r="P12">
        <f t="shared" si="2"/>
        <v>508481.1</v>
      </c>
      <c r="Q12" s="22">
        <v>2199000</v>
      </c>
      <c r="R12" s="30" t="s">
        <v>672</v>
      </c>
      <c r="S12" s="7">
        <f t="shared" si="3"/>
        <v>13</v>
      </c>
      <c r="T12" s="7">
        <v>20251231</v>
      </c>
    </row>
    <row r="13" spans="1:20" ht="18.600000000000001">
      <c r="A13" t="s">
        <v>503</v>
      </c>
      <c r="B13" s="23" t="s">
        <v>457</v>
      </c>
      <c r="C13" s="15" t="s">
        <v>609</v>
      </c>
      <c r="D13" t="s">
        <v>562</v>
      </c>
      <c r="E13" t="s">
        <v>1</v>
      </c>
      <c r="F13" t="s">
        <v>562</v>
      </c>
      <c r="G13" s="21">
        <v>60</v>
      </c>
      <c r="H13" t="s">
        <v>2</v>
      </c>
      <c r="I13" s="22">
        <v>2199000</v>
      </c>
      <c r="J13">
        <v>0</v>
      </c>
      <c r="K13">
        <v>1</v>
      </c>
      <c r="L13">
        <f t="shared" si="0"/>
        <v>47</v>
      </c>
      <c r="M13">
        <f t="shared" si="1"/>
        <v>46</v>
      </c>
      <c r="N13">
        <v>104</v>
      </c>
      <c r="O13">
        <v>508481.095890411</v>
      </c>
      <c r="P13">
        <f t="shared" si="2"/>
        <v>508481.1</v>
      </c>
      <c r="Q13" s="22">
        <v>2199000</v>
      </c>
      <c r="R13" s="30" t="s">
        <v>673</v>
      </c>
      <c r="S13" s="7">
        <f t="shared" si="3"/>
        <v>13</v>
      </c>
      <c r="T13" s="7">
        <v>20251231</v>
      </c>
    </row>
    <row r="14" spans="1:20" ht="18.600000000000001">
      <c r="A14" t="s">
        <v>504</v>
      </c>
      <c r="B14" s="23" t="s">
        <v>457</v>
      </c>
      <c r="C14" s="15" t="s">
        <v>610</v>
      </c>
      <c r="D14" t="s">
        <v>562</v>
      </c>
      <c r="E14" t="s">
        <v>1</v>
      </c>
      <c r="F14" t="s">
        <v>562</v>
      </c>
      <c r="G14" s="21">
        <v>60</v>
      </c>
      <c r="H14" t="s">
        <v>2</v>
      </c>
      <c r="I14" s="22">
        <v>2199000</v>
      </c>
      <c r="J14">
        <v>0</v>
      </c>
      <c r="K14">
        <v>1</v>
      </c>
      <c r="L14">
        <f t="shared" si="0"/>
        <v>47</v>
      </c>
      <c r="M14">
        <f t="shared" si="1"/>
        <v>46</v>
      </c>
      <c r="N14">
        <v>104</v>
      </c>
      <c r="O14">
        <v>508481.095890411</v>
      </c>
      <c r="P14">
        <f t="shared" si="2"/>
        <v>508481.1</v>
      </c>
      <c r="Q14" s="22">
        <v>2199000</v>
      </c>
      <c r="R14" s="30" t="s">
        <v>674</v>
      </c>
      <c r="S14" s="7">
        <f t="shared" si="3"/>
        <v>13</v>
      </c>
      <c r="T14" s="7">
        <v>20251231</v>
      </c>
    </row>
    <row r="15" spans="1:20" ht="18.600000000000001">
      <c r="A15" t="s">
        <v>505</v>
      </c>
      <c r="B15" s="23" t="s">
        <v>457</v>
      </c>
      <c r="C15" s="15" t="s">
        <v>611</v>
      </c>
      <c r="D15" t="s">
        <v>562</v>
      </c>
      <c r="E15" t="s">
        <v>1</v>
      </c>
      <c r="F15" t="s">
        <v>562</v>
      </c>
      <c r="G15" s="21">
        <v>60</v>
      </c>
      <c r="H15" t="s">
        <v>2</v>
      </c>
      <c r="I15" s="22">
        <v>2199000</v>
      </c>
      <c r="J15">
        <v>0</v>
      </c>
      <c r="K15">
        <v>1</v>
      </c>
      <c r="L15">
        <f t="shared" si="0"/>
        <v>47</v>
      </c>
      <c r="M15">
        <f t="shared" si="1"/>
        <v>46</v>
      </c>
      <c r="N15">
        <v>104</v>
      </c>
      <c r="O15">
        <v>508481.095890411</v>
      </c>
      <c r="P15">
        <f t="shared" si="2"/>
        <v>508481.1</v>
      </c>
      <c r="Q15" s="22">
        <v>2199000</v>
      </c>
      <c r="R15" s="30" t="s">
        <v>675</v>
      </c>
      <c r="S15" s="7">
        <f t="shared" si="3"/>
        <v>13</v>
      </c>
      <c r="T15" s="7">
        <v>20251231</v>
      </c>
    </row>
    <row r="16" spans="1:20" ht="18.600000000000001">
      <c r="A16" t="s">
        <v>506</v>
      </c>
      <c r="B16" s="18" t="s">
        <v>458</v>
      </c>
      <c r="C16" s="15" t="s">
        <v>612</v>
      </c>
      <c r="D16" t="s">
        <v>563</v>
      </c>
      <c r="E16" t="s">
        <v>1</v>
      </c>
      <c r="F16" t="s">
        <v>563</v>
      </c>
      <c r="G16" s="21">
        <v>60</v>
      </c>
      <c r="H16" t="s">
        <v>2</v>
      </c>
      <c r="I16" s="22">
        <v>28189700</v>
      </c>
      <c r="J16">
        <v>0</v>
      </c>
      <c r="K16">
        <v>1</v>
      </c>
      <c r="L16">
        <f t="shared" si="0"/>
        <v>49</v>
      </c>
      <c r="M16">
        <f t="shared" si="1"/>
        <v>48</v>
      </c>
      <c r="N16">
        <v>104</v>
      </c>
      <c r="O16">
        <v>5159101.2602739725</v>
      </c>
      <c r="P16">
        <f t="shared" si="2"/>
        <v>5159101.26</v>
      </c>
      <c r="Q16" s="22">
        <v>28189700</v>
      </c>
      <c r="R16" s="30" t="s">
        <v>676</v>
      </c>
      <c r="S16" s="7">
        <f t="shared" si="3"/>
        <v>11</v>
      </c>
      <c r="T16" s="7">
        <v>20251231</v>
      </c>
    </row>
    <row r="17" spans="1:20" ht="18.600000000000001">
      <c r="A17" t="s">
        <v>507</v>
      </c>
      <c r="B17" s="18" t="s">
        <v>459</v>
      </c>
      <c r="C17" s="15" t="s">
        <v>613</v>
      </c>
      <c r="D17" t="s">
        <v>564</v>
      </c>
      <c r="E17" t="s">
        <v>1</v>
      </c>
      <c r="F17" t="s">
        <v>564</v>
      </c>
      <c r="G17" s="21">
        <v>60</v>
      </c>
      <c r="H17" t="s">
        <v>2</v>
      </c>
      <c r="I17" s="22">
        <v>390192</v>
      </c>
      <c r="J17">
        <v>0</v>
      </c>
      <c r="K17">
        <v>1</v>
      </c>
      <c r="L17">
        <f t="shared" si="0"/>
        <v>-132</v>
      </c>
      <c r="M17">
        <v>0</v>
      </c>
      <c r="N17">
        <v>104</v>
      </c>
      <c r="O17">
        <v>1252676.6728767122</v>
      </c>
      <c r="P17" s="16">
        <f>I17</f>
        <v>390192</v>
      </c>
      <c r="Q17" s="22">
        <v>390192</v>
      </c>
      <c r="R17" s="30"/>
      <c r="S17" s="7">
        <f t="shared" si="3"/>
        <v>192</v>
      </c>
      <c r="T17" s="7">
        <v>20251231</v>
      </c>
    </row>
    <row r="18" spans="1:20" ht="18.600000000000001">
      <c r="A18" t="s">
        <v>508</v>
      </c>
      <c r="B18" s="18" t="s">
        <v>459</v>
      </c>
      <c r="C18" s="15" t="s">
        <v>614</v>
      </c>
      <c r="D18" t="s">
        <v>564</v>
      </c>
      <c r="E18" t="s">
        <v>1</v>
      </c>
      <c r="F18" t="s">
        <v>564</v>
      </c>
      <c r="G18" s="21">
        <v>60</v>
      </c>
      <c r="H18" t="s">
        <v>2</v>
      </c>
      <c r="I18" s="22">
        <v>390192</v>
      </c>
      <c r="J18">
        <v>0</v>
      </c>
      <c r="K18">
        <v>1</v>
      </c>
      <c r="L18">
        <f t="shared" si="0"/>
        <v>-132</v>
      </c>
      <c r="M18">
        <v>0</v>
      </c>
      <c r="N18">
        <v>104</v>
      </c>
      <c r="O18">
        <v>1252676.6728767122</v>
      </c>
      <c r="P18" s="16">
        <f t="shared" ref="P18:P46" si="4">I18</f>
        <v>390192</v>
      </c>
      <c r="Q18" s="22">
        <v>390192</v>
      </c>
      <c r="R18" s="30"/>
      <c r="S18" s="7">
        <f t="shared" si="3"/>
        <v>192</v>
      </c>
      <c r="T18" s="7">
        <v>20251231</v>
      </c>
    </row>
    <row r="19" spans="1:20" ht="18.600000000000001">
      <c r="A19" t="s">
        <v>509</v>
      </c>
      <c r="B19" s="18" t="s">
        <v>459</v>
      </c>
      <c r="C19" s="15" t="s">
        <v>615</v>
      </c>
      <c r="D19" t="s">
        <v>564</v>
      </c>
      <c r="E19" t="s">
        <v>1</v>
      </c>
      <c r="F19" t="s">
        <v>564</v>
      </c>
      <c r="G19" s="21">
        <v>60</v>
      </c>
      <c r="H19" t="s">
        <v>2</v>
      </c>
      <c r="I19" s="22">
        <v>390192</v>
      </c>
      <c r="J19">
        <v>0</v>
      </c>
      <c r="K19">
        <v>1</v>
      </c>
      <c r="L19">
        <f t="shared" si="0"/>
        <v>-132</v>
      </c>
      <c r="M19">
        <v>0</v>
      </c>
      <c r="N19">
        <v>104</v>
      </c>
      <c r="O19">
        <v>1252676.6728767122</v>
      </c>
      <c r="P19" s="16">
        <f t="shared" si="4"/>
        <v>390192</v>
      </c>
      <c r="Q19" s="22">
        <v>390192</v>
      </c>
      <c r="R19" s="30"/>
      <c r="S19" s="7">
        <f t="shared" si="3"/>
        <v>192</v>
      </c>
      <c r="T19" s="7">
        <v>20251231</v>
      </c>
    </row>
    <row r="20" spans="1:20" ht="18.600000000000001">
      <c r="A20" t="s">
        <v>510</v>
      </c>
      <c r="B20" s="18" t="s">
        <v>459</v>
      </c>
      <c r="C20" s="15" t="s">
        <v>616</v>
      </c>
      <c r="D20" t="s">
        <v>564</v>
      </c>
      <c r="E20" t="s">
        <v>1</v>
      </c>
      <c r="F20" t="s">
        <v>564</v>
      </c>
      <c r="G20" s="21">
        <v>60</v>
      </c>
      <c r="H20" t="s">
        <v>2</v>
      </c>
      <c r="I20" s="22">
        <v>390192</v>
      </c>
      <c r="J20">
        <v>0</v>
      </c>
      <c r="K20">
        <v>1</v>
      </c>
      <c r="L20">
        <f t="shared" si="0"/>
        <v>-132</v>
      </c>
      <c r="M20">
        <v>0</v>
      </c>
      <c r="N20">
        <v>104</v>
      </c>
      <c r="O20">
        <v>1252676.6728767122</v>
      </c>
      <c r="P20" s="16">
        <f t="shared" si="4"/>
        <v>390192</v>
      </c>
      <c r="Q20" s="22">
        <v>390192</v>
      </c>
      <c r="R20" s="30"/>
      <c r="S20" s="7">
        <f t="shared" si="3"/>
        <v>192</v>
      </c>
      <c r="T20" s="7">
        <v>20251231</v>
      </c>
    </row>
    <row r="21" spans="1:20" ht="18.600000000000001">
      <c r="A21" t="s">
        <v>511</v>
      </c>
      <c r="B21" s="18" t="s">
        <v>459</v>
      </c>
      <c r="C21" s="15" t="s">
        <v>617</v>
      </c>
      <c r="D21" t="s">
        <v>564</v>
      </c>
      <c r="E21" t="s">
        <v>1</v>
      </c>
      <c r="F21" t="s">
        <v>564</v>
      </c>
      <c r="G21" s="21">
        <v>60</v>
      </c>
      <c r="H21" t="s">
        <v>2</v>
      </c>
      <c r="I21" s="22">
        <v>390192</v>
      </c>
      <c r="J21">
        <v>0</v>
      </c>
      <c r="K21">
        <v>1</v>
      </c>
      <c r="L21">
        <f t="shared" si="0"/>
        <v>-132</v>
      </c>
      <c r="M21">
        <v>0</v>
      </c>
      <c r="N21">
        <v>104</v>
      </c>
      <c r="O21">
        <v>1252676.6728767122</v>
      </c>
      <c r="P21" s="16">
        <f t="shared" si="4"/>
        <v>390192</v>
      </c>
      <c r="Q21" s="22">
        <v>390192</v>
      </c>
      <c r="R21" s="30"/>
      <c r="S21" s="7">
        <f t="shared" si="3"/>
        <v>192</v>
      </c>
      <c r="T21" s="7">
        <v>20251231</v>
      </c>
    </row>
    <row r="22" spans="1:20" ht="18.600000000000001">
      <c r="A22" t="s">
        <v>512</v>
      </c>
      <c r="B22" s="18" t="s">
        <v>459</v>
      </c>
      <c r="C22" s="15" t="s">
        <v>618</v>
      </c>
      <c r="D22" t="s">
        <v>564</v>
      </c>
      <c r="E22" t="s">
        <v>1</v>
      </c>
      <c r="F22" t="s">
        <v>564</v>
      </c>
      <c r="G22" s="21">
        <v>60</v>
      </c>
      <c r="H22" t="s">
        <v>2</v>
      </c>
      <c r="I22" s="22">
        <v>390192</v>
      </c>
      <c r="J22">
        <v>0</v>
      </c>
      <c r="K22">
        <v>1</v>
      </c>
      <c r="L22">
        <f t="shared" si="0"/>
        <v>-132</v>
      </c>
      <c r="M22">
        <v>0</v>
      </c>
      <c r="N22">
        <v>104</v>
      </c>
      <c r="O22">
        <v>1252676.6728767122</v>
      </c>
      <c r="P22" s="16">
        <f t="shared" si="4"/>
        <v>390192</v>
      </c>
      <c r="Q22" s="22">
        <v>390192</v>
      </c>
      <c r="R22" s="30"/>
      <c r="S22" s="7">
        <f t="shared" si="3"/>
        <v>192</v>
      </c>
      <c r="T22" s="7">
        <v>20251231</v>
      </c>
    </row>
    <row r="23" spans="1:20" ht="18.600000000000001">
      <c r="A23" t="s">
        <v>513</v>
      </c>
      <c r="B23" s="18" t="s">
        <v>459</v>
      </c>
      <c r="C23" s="15" t="s">
        <v>619</v>
      </c>
      <c r="D23" t="s">
        <v>564</v>
      </c>
      <c r="E23" t="s">
        <v>1</v>
      </c>
      <c r="F23" t="s">
        <v>564</v>
      </c>
      <c r="G23" s="21">
        <v>60</v>
      </c>
      <c r="H23" t="s">
        <v>2</v>
      </c>
      <c r="I23" s="22">
        <v>390192</v>
      </c>
      <c r="J23">
        <v>0</v>
      </c>
      <c r="K23">
        <v>1</v>
      </c>
      <c r="L23">
        <f t="shared" si="0"/>
        <v>-132</v>
      </c>
      <c r="M23">
        <v>0</v>
      </c>
      <c r="N23">
        <v>104</v>
      </c>
      <c r="O23">
        <v>1252676.6728767122</v>
      </c>
      <c r="P23" s="16">
        <f t="shared" si="4"/>
        <v>390192</v>
      </c>
      <c r="Q23" s="22">
        <v>390192</v>
      </c>
      <c r="R23" s="30"/>
      <c r="S23" s="7">
        <f t="shared" si="3"/>
        <v>192</v>
      </c>
      <c r="T23" s="7">
        <v>20251231</v>
      </c>
    </row>
    <row r="24" spans="1:20" ht="18.600000000000001">
      <c r="A24" t="s">
        <v>514</v>
      </c>
      <c r="B24" s="18" t="s">
        <v>460</v>
      </c>
      <c r="C24" s="15" t="s">
        <v>620</v>
      </c>
      <c r="D24" t="s">
        <v>565</v>
      </c>
      <c r="E24" t="s">
        <v>1</v>
      </c>
      <c r="F24" t="s">
        <v>565</v>
      </c>
      <c r="G24" s="21">
        <v>60</v>
      </c>
      <c r="H24" t="s">
        <v>2</v>
      </c>
      <c r="I24" s="22">
        <v>5956635.5999999996</v>
      </c>
      <c r="J24">
        <v>0</v>
      </c>
      <c r="K24">
        <v>1</v>
      </c>
      <c r="L24">
        <f t="shared" si="0"/>
        <v>-55</v>
      </c>
      <c r="M24">
        <v>0</v>
      </c>
      <c r="N24">
        <v>104</v>
      </c>
      <c r="O24">
        <v>11524865.919780821</v>
      </c>
      <c r="P24" s="16">
        <f t="shared" si="4"/>
        <v>5956635.5999999996</v>
      </c>
      <c r="Q24" s="22">
        <v>5956635.5999999996</v>
      </c>
      <c r="R24" s="30"/>
      <c r="S24" s="7">
        <f t="shared" si="3"/>
        <v>115</v>
      </c>
      <c r="T24" s="7">
        <v>20251231</v>
      </c>
    </row>
    <row r="25" spans="1:20" ht="18.600000000000001">
      <c r="A25" t="s">
        <v>515</v>
      </c>
      <c r="B25" s="18" t="s">
        <v>461</v>
      </c>
      <c r="C25" s="15" t="s">
        <v>621</v>
      </c>
      <c r="D25" t="s">
        <v>566</v>
      </c>
      <c r="E25" t="s">
        <v>1</v>
      </c>
      <c r="F25" t="s">
        <v>566</v>
      </c>
      <c r="G25" s="21">
        <v>60</v>
      </c>
      <c r="H25" t="s">
        <v>2</v>
      </c>
      <c r="I25" s="22">
        <v>3298896</v>
      </c>
      <c r="J25">
        <v>0</v>
      </c>
      <c r="K25">
        <v>1</v>
      </c>
      <c r="L25">
        <f t="shared" si="0"/>
        <v>-102</v>
      </c>
      <c r="M25">
        <v>0</v>
      </c>
      <c r="N25">
        <v>104</v>
      </c>
      <c r="O25">
        <v>8931421.9923287686</v>
      </c>
      <c r="P25" s="16">
        <f t="shared" si="4"/>
        <v>3298896</v>
      </c>
      <c r="Q25" s="22">
        <v>3298896</v>
      </c>
      <c r="R25" s="30"/>
      <c r="S25" s="7">
        <f t="shared" si="3"/>
        <v>162</v>
      </c>
      <c r="T25" s="7">
        <v>20251231</v>
      </c>
    </row>
    <row r="26" spans="1:20" ht="18.600000000000001">
      <c r="A26" t="s">
        <v>516</v>
      </c>
      <c r="B26" s="18" t="s">
        <v>462</v>
      </c>
      <c r="C26" s="15" t="s">
        <v>622</v>
      </c>
      <c r="D26" t="s">
        <v>567</v>
      </c>
      <c r="E26" t="s">
        <v>1</v>
      </c>
      <c r="F26" t="s">
        <v>567</v>
      </c>
      <c r="G26" s="21">
        <v>60</v>
      </c>
      <c r="H26" t="s">
        <v>2</v>
      </c>
      <c r="I26" s="22">
        <v>638496</v>
      </c>
      <c r="J26">
        <v>0</v>
      </c>
      <c r="K26">
        <v>1</v>
      </c>
      <c r="L26">
        <f t="shared" si="0"/>
        <v>-98</v>
      </c>
      <c r="M26">
        <v>0</v>
      </c>
      <c r="N26">
        <v>104</v>
      </c>
      <c r="O26">
        <v>1690177.6306849315</v>
      </c>
      <c r="P26" s="16">
        <f t="shared" si="4"/>
        <v>638496</v>
      </c>
      <c r="Q26" s="22">
        <v>638496</v>
      </c>
      <c r="R26" s="30"/>
      <c r="S26" s="7">
        <f t="shared" si="3"/>
        <v>158</v>
      </c>
      <c r="T26" s="7">
        <v>20251231</v>
      </c>
    </row>
    <row r="27" spans="1:20" ht="18.600000000000001">
      <c r="A27" t="s">
        <v>517</v>
      </c>
      <c r="B27" s="18" t="s">
        <v>463</v>
      </c>
      <c r="C27" s="15" t="s">
        <v>623</v>
      </c>
      <c r="D27" t="s">
        <v>565</v>
      </c>
      <c r="E27" t="s">
        <v>1</v>
      </c>
      <c r="F27" t="s">
        <v>565</v>
      </c>
      <c r="G27" s="21">
        <v>60</v>
      </c>
      <c r="H27" t="s">
        <v>2</v>
      </c>
      <c r="I27" s="22">
        <v>28373875</v>
      </c>
      <c r="J27">
        <v>0</v>
      </c>
      <c r="K27">
        <v>1</v>
      </c>
      <c r="L27">
        <f t="shared" si="0"/>
        <v>-55</v>
      </c>
      <c r="M27">
        <v>0</v>
      </c>
      <c r="N27">
        <v>104</v>
      </c>
      <c r="O27">
        <v>54897617.87671233</v>
      </c>
      <c r="P27" s="16">
        <f t="shared" si="4"/>
        <v>28373875</v>
      </c>
      <c r="Q27" s="22">
        <v>28373875</v>
      </c>
      <c r="R27" s="30"/>
      <c r="S27" s="7">
        <f t="shared" si="3"/>
        <v>115</v>
      </c>
      <c r="T27" s="7">
        <v>20251231</v>
      </c>
    </row>
    <row r="28" spans="1:20" ht="18.600000000000001">
      <c r="A28" t="s">
        <v>518</v>
      </c>
      <c r="B28" s="18" t="s">
        <v>464</v>
      </c>
      <c r="C28" s="15" t="s">
        <v>624</v>
      </c>
      <c r="D28" t="s">
        <v>568</v>
      </c>
      <c r="E28" t="s">
        <v>1</v>
      </c>
      <c r="F28" t="s">
        <v>568</v>
      </c>
      <c r="G28" s="21">
        <v>60</v>
      </c>
      <c r="H28" t="s">
        <v>2</v>
      </c>
      <c r="I28" s="22">
        <v>6307360</v>
      </c>
      <c r="J28">
        <v>0</v>
      </c>
      <c r="K28">
        <v>1</v>
      </c>
      <c r="L28">
        <f t="shared" si="0"/>
        <v>-5</v>
      </c>
      <c r="M28">
        <v>0</v>
      </c>
      <c r="N28">
        <v>104</v>
      </c>
      <c r="O28">
        <v>6936367.9561643833</v>
      </c>
      <c r="P28" s="16">
        <f t="shared" si="4"/>
        <v>6307360</v>
      </c>
      <c r="Q28" s="22">
        <v>6307360</v>
      </c>
      <c r="R28" s="30"/>
      <c r="S28" s="7">
        <f t="shared" si="3"/>
        <v>65</v>
      </c>
      <c r="T28" s="7">
        <v>20251231</v>
      </c>
    </row>
    <row r="29" spans="1:20" ht="18.600000000000001">
      <c r="A29" t="s">
        <v>519</v>
      </c>
      <c r="B29" s="18" t="s">
        <v>465</v>
      </c>
      <c r="C29" s="15" t="s">
        <v>625</v>
      </c>
      <c r="D29" t="s">
        <v>569</v>
      </c>
      <c r="E29" t="s">
        <v>1</v>
      </c>
      <c r="F29" t="s">
        <v>569</v>
      </c>
      <c r="G29" s="21">
        <v>60</v>
      </c>
      <c r="H29" t="s">
        <v>2</v>
      </c>
      <c r="I29" s="22">
        <v>1399000</v>
      </c>
      <c r="J29">
        <v>0</v>
      </c>
      <c r="K29">
        <v>1</v>
      </c>
      <c r="L29">
        <f t="shared" si="0"/>
        <v>-7</v>
      </c>
      <c r="M29">
        <v>0</v>
      </c>
      <c r="N29">
        <v>104</v>
      </c>
      <c r="O29">
        <v>1583744.6575342466</v>
      </c>
      <c r="P29" s="16">
        <f t="shared" si="4"/>
        <v>1399000</v>
      </c>
      <c r="Q29" s="22">
        <v>1399000</v>
      </c>
      <c r="R29" s="30"/>
      <c r="S29" s="7">
        <f t="shared" si="3"/>
        <v>67</v>
      </c>
      <c r="T29" s="7">
        <v>20251231</v>
      </c>
    </row>
    <row r="30" spans="1:20" ht="18.600000000000001">
      <c r="A30" t="s">
        <v>520</v>
      </c>
      <c r="B30" s="18" t="s">
        <v>465</v>
      </c>
      <c r="C30" s="15" t="s">
        <v>626</v>
      </c>
      <c r="D30" t="s">
        <v>570</v>
      </c>
      <c r="E30" t="s">
        <v>1</v>
      </c>
      <c r="F30" t="s">
        <v>570</v>
      </c>
      <c r="G30" s="21">
        <v>60</v>
      </c>
      <c r="H30" t="s">
        <v>2</v>
      </c>
      <c r="I30" s="22">
        <v>1437000</v>
      </c>
      <c r="J30">
        <v>0</v>
      </c>
      <c r="K30">
        <v>1</v>
      </c>
      <c r="L30">
        <f t="shared" si="0"/>
        <v>-3</v>
      </c>
      <c r="M30">
        <v>0</v>
      </c>
      <c r="N30">
        <v>104</v>
      </c>
      <c r="O30">
        <v>1517314.5205479453</v>
      </c>
      <c r="P30" s="16">
        <f t="shared" si="4"/>
        <v>1437000</v>
      </c>
      <c r="Q30" s="22">
        <v>1437000</v>
      </c>
      <c r="R30" s="30"/>
      <c r="S30" s="7">
        <f t="shared" si="3"/>
        <v>63</v>
      </c>
      <c r="T30" s="7">
        <v>20251231</v>
      </c>
    </row>
    <row r="31" spans="1:20" ht="18.600000000000001">
      <c r="A31" t="s">
        <v>521</v>
      </c>
      <c r="B31" s="18" t="s">
        <v>465</v>
      </c>
      <c r="C31" s="15" t="s">
        <v>627</v>
      </c>
      <c r="D31" t="s">
        <v>571</v>
      </c>
      <c r="E31" t="s">
        <v>1</v>
      </c>
      <c r="F31" t="s">
        <v>571</v>
      </c>
      <c r="G31" s="21">
        <v>60</v>
      </c>
      <c r="H31" t="s">
        <v>2</v>
      </c>
      <c r="I31" s="22">
        <v>899000</v>
      </c>
      <c r="J31">
        <v>0</v>
      </c>
      <c r="K31">
        <v>1</v>
      </c>
      <c r="L31">
        <f t="shared" si="0"/>
        <v>-4</v>
      </c>
      <c r="M31">
        <v>0</v>
      </c>
      <c r="N31">
        <v>104</v>
      </c>
      <c r="O31">
        <v>969442.19178082189</v>
      </c>
      <c r="P31" s="16">
        <f t="shared" si="4"/>
        <v>899000</v>
      </c>
      <c r="Q31" s="22">
        <v>899000</v>
      </c>
      <c r="R31" s="30"/>
      <c r="S31" s="7">
        <f t="shared" si="3"/>
        <v>64</v>
      </c>
      <c r="T31" s="7">
        <v>20251231</v>
      </c>
    </row>
    <row r="32" spans="1:20" ht="18.600000000000001">
      <c r="A32" t="s">
        <v>522</v>
      </c>
      <c r="B32" s="18" t="s">
        <v>465</v>
      </c>
      <c r="C32" s="15" t="s">
        <v>628</v>
      </c>
      <c r="D32" t="s">
        <v>572</v>
      </c>
      <c r="E32" t="s">
        <v>1</v>
      </c>
      <c r="F32" t="s">
        <v>572</v>
      </c>
      <c r="G32" s="21">
        <v>60</v>
      </c>
      <c r="H32" t="s">
        <v>2</v>
      </c>
      <c r="I32" s="22">
        <v>1199000</v>
      </c>
      <c r="J32">
        <v>0</v>
      </c>
      <c r="K32">
        <v>1</v>
      </c>
      <c r="L32">
        <f t="shared" si="0"/>
        <v>-1</v>
      </c>
      <c r="M32">
        <v>0</v>
      </c>
      <c r="N32">
        <v>104</v>
      </c>
      <c r="O32">
        <v>1226593.4246575341</v>
      </c>
      <c r="P32" s="16">
        <f t="shared" si="4"/>
        <v>1199000</v>
      </c>
      <c r="Q32" s="22">
        <v>1199000</v>
      </c>
      <c r="R32" s="30"/>
      <c r="S32" s="7">
        <f t="shared" si="3"/>
        <v>61</v>
      </c>
      <c r="T32" s="7">
        <v>20251231</v>
      </c>
    </row>
    <row r="33" spans="1:20" ht="18.600000000000001">
      <c r="A33" t="s">
        <v>523</v>
      </c>
      <c r="B33" s="18" t="s">
        <v>465</v>
      </c>
      <c r="C33" s="15" t="s">
        <v>629</v>
      </c>
      <c r="D33" t="s">
        <v>573</v>
      </c>
      <c r="E33" t="s">
        <v>1</v>
      </c>
      <c r="F33" t="s">
        <v>573</v>
      </c>
      <c r="G33" s="21">
        <v>60</v>
      </c>
      <c r="H33" t="s">
        <v>2</v>
      </c>
      <c r="I33" s="22">
        <v>757000</v>
      </c>
      <c r="J33">
        <v>0</v>
      </c>
      <c r="K33">
        <v>1</v>
      </c>
      <c r="L33">
        <f t="shared" si="0"/>
        <v>-33</v>
      </c>
      <c r="M33">
        <v>0</v>
      </c>
      <c r="N33">
        <v>104</v>
      </c>
      <c r="O33">
        <v>1178431.2328767122</v>
      </c>
      <c r="P33" s="16">
        <f t="shared" si="4"/>
        <v>757000</v>
      </c>
      <c r="Q33" s="22">
        <v>757000</v>
      </c>
      <c r="R33" s="30"/>
      <c r="S33" s="7">
        <f t="shared" si="3"/>
        <v>93</v>
      </c>
      <c r="T33" s="7">
        <v>20251231</v>
      </c>
    </row>
    <row r="34" spans="1:20" ht="18.600000000000001">
      <c r="A34" t="s">
        <v>524</v>
      </c>
      <c r="B34" s="18" t="s">
        <v>466</v>
      </c>
      <c r="C34" s="15" t="s">
        <v>630</v>
      </c>
      <c r="D34" t="s">
        <v>574</v>
      </c>
      <c r="E34" t="s">
        <v>1</v>
      </c>
      <c r="F34" t="s">
        <v>574</v>
      </c>
      <c r="G34" s="21">
        <v>60</v>
      </c>
      <c r="H34" t="s">
        <v>2</v>
      </c>
      <c r="I34" s="22">
        <v>10512750</v>
      </c>
      <c r="J34">
        <v>0</v>
      </c>
      <c r="K34">
        <v>1</v>
      </c>
      <c r="L34">
        <f t="shared" si="0"/>
        <v>-24</v>
      </c>
      <c r="M34">
        <v>0</v>
      </c>
      <c r="N34">
        <v>104</v>
      </c>
      <c r="O34">
        <v>14902183.15068493</v>
      </c>
      <c r="P34" s="16">
        <f t="shared" si="4"/>
        <v>10512750</v>
      </c>
      <c r="Q34" s="22">
        <v>10512750</v>
      </c>
      <c r="R34" s="30"/>
      <c r="S34" s="7">
        <f t="shared" si="3"/>
        <v>84</v>
      </c>
      <c r="T34" s="7">
        <v>20251231</v>
      </c>
    </row>
    <row r="35" spans="1:20" ht="18.600000000000001">
      <c r="A35" t="s">
        <v>525</v>
      </c>
      <c r="B35" s="18" t="s">
        <v>467</v>
      </c>
      <c r="C35" s="15" t="s">
        <v>631</v>
      </c>
      <c r="D35" t="s">
        <v>575</v>
      </c>
      <c r="E35" t="s">
        <v>1</v>
      </c>
      <c r="F35" t="s">
        <v>575</v>
      </c>
      <c r="G35" s="21">
        <v>60</v>
      </c>
      <c r="H35" t="s">
        <v>2</v>
      </c>
      <c r="I35" s="22">
        <v>466500</v>
      </c>
      <c r="J35">
        <v>0</v>
      </c>
      <c r="K35">
        <v>1</v>
      </c>
      <c r="L35">
        <f t="shared" si="0"/>
        <v>-35</v>
      </c>
      <c r="M35">
        <v>0</v>
      </c>
      <c r="N35">
        <v>104</v>
      </c>
      <c r="O35">
        <v>746655.61643835611</v>
      </c>
      <c r="P35" s="16">
        <f t="shared" si="4"/>
        <v>466500</v>
      </c>
      <c r="Q35" s="22">
        <v>466500</v>
      </c>
      <c r="R35" s="30"/>
      <c r="S35" s="7">
        <f t="shared" si="3"/>
        <v>95</v>
      </c>
      <c r="T35" s="7">
        <v>20251231</v>
      </c>
    </row>
    <row r="36" spans="1:20" ht="18.600000000000001">
      <c r="A36" t="s">
        <v>526</v>
      </c>
      <c r="B36" s="18" t="s">
        <v>465</v>
      </c>
      <c r="C36" s="15" t="s">
        <v>632</v>
      </c>
      <c r="D36" t="s">
        <v>575</v>
      </c>
      <c r="E36" t="s">
        <v>1</v>
      </c>
      <c r="F36" t="s">
        <v>575</v>
      </c>
      <c r="G36" s="21">
        <v>60</v>
      </c>
      <c r="H36" t="s">
        <v>2</v>
      </c>
      <c r="I36" s="22">
        <v>1337300</v>
      </c>
      <c r="J36">
        <v>0</v>
      </c>
      <c r="K36">
        <v>1</v>
      </c>
      <c r="L36">
        <f t="shared" si="0"/>
        <v>-35</v>
      </c>
      <c r="M36">
        <v>0</v>
      </c>
      <c r="N36">
        <v>104</v>
      </c>
      <c r="O36">
        <v>2140412.7671232875</v>
      </c>
      <c r="P36" s="16">
        <f t="shared" si="4"/>
        <v>1337300</v>
      </c>
      <c r="Q36" s="22">
        <v>1337300</v>
      </c>
      <c r="R36" s="30"/>
      <c r="S36" s="7">
        <f t="shared" si="3"/>
        <v>95</v>
      </c>
      <c r="T36" s="7">
        <v>20251231</v>
      </c>
    </row>
    <row r="37" spans="1:20" ht="18.600000000000001">
      <c r="A37" t="s">
        <v>527</v>
      </c>
      <c r="B37" s="18" t="s">
        <v>468</v>
      </c>
      <c r="C37" s="15" t="s">
        <v>633</v>
      </c>
      <c r="D37" t="s">
        <v>575</v>
      </c>
      <c r="E37" t="s">
        <v>1</v>
      </c>
      <c r="F37" t="s">
        <v>575</v>
      </c>
      <c r="G37" s="21">
        <v>60</v>
      </c>
      <c r="H37" t="s">
        <v>2</v>
      </c>
      <c r="I37" s="22">
        <v>466500</v>
      </c>
      <c r="J37">
        <v>0</v>
      </c>
      <c r="K37">
        <v>1</v>
      </c>
      <c r="L37">
        <f t="shared" si="0"/>
        <v>-35</v>
      </c>
      <c r="M37">
        <v>0</v>
      </c>
      <c r="N37">
        <v>104</v>
      </c>
      <c r="O37">
        <v>746655.61643835611</v>
      </c>
      <c r="P37" s="16">
        <f t="shared" si="4"/>
        <v>466500</v>
      </c>
      <c r="Q37" s="22">
        <v>466500</v>
      </c>
      <c r="R37" s="30"/>
      <c r="S37" s="7">
        <f t="shared" si="3"/>
        <v>95</v>
      </c>
      <c r="T37" s="7">
        <v>20251231</v>
      </c>
    </row>
    <row r="38" spans="1:20" ht="18.600000000000001">
      <c r="A38" t="s">
        <v>528</v>
      </c>
      <c r="B38" s="18" t="s">
        <v>467</v>
      </c>
      <c r="C38" s="15" t="s">
        <v>634</v>
      </c>
      <c r="D38" t="s">
        <v>575</v>
      </c>
      <c r="E38" t="s">
        <v>1</v>
      </c>
      <c r="F38" t="s">
        <v>575</v>
      </c>
      <c r="G38" s="21">
        <v>60</v>
      </c>
      <c r="H38" t="s">
        <v>2</v>
      </c>
      <c r="I38" s="22">
        <v>466500</v>
      </c>
      <c r="J38">
        <v>0</v>
      </c>
      <c r="K38">
        <v>1</v>
      </c>
      <c r="L38">
        <f t="shared" si="0"/>
        <v>-35</v>
      </c>
      <c r="M38">
        <v>0</v>
      </c>
      <c r="N38">
        <v>104</v>
      </c>
      <c r="O38">
        <v>746655.61643835611</v>
      </c>
      <c r="P38" s="16">
        <f t="shared" si="4"/>
        <v>466500</v>
      </c>
      <c r="Q38" s="22">
        <v>466500</v>
      </c>
      <c r="R38" s="30"/>
      <c r="S38" s="7">
        <f t="shared" si="3"/>
        <v>95</v>
      </c>
      <c r="T38" s="7">
        <v>20251231</v>
      </c>
    </row>
    <row r="39" spans="1:20" ht="18.600000000000001">
      <c r="A39" t="s">
        <v>529</v>
      </c>
      <c r="B39" s="18" t="s">
        <v>468</v>
      </c>
      <c r="C39" s="15" t="s">
        <v>635</v>
      </c>
      <c r="D39" t="s">
        <v>575</v>
      </c>
      <c r="E39" t="s">
        <v>1</v>
      </c>
      <c r="F39" t="s">
        <v>575</v>
      </c>
      <c r="G39" s="21">
        <v>60</v>
      </c>
      <c r="H39" t="s">
        <v>2</v>
      </c>
      <c r="I39" s="22">
        <v>466500</v>
      </c>
      <c r="J39">
        <v>0</v>
      </c>
      <c r="K39">
        <v>1</v>
      </c>
      <c r="L39">
        <f t="shared" si="0"/>
        <v>-35</v>
      </c>
      <c r="M39">
        <v>0</v>
      </c>
      <c r="N39">
        <v>104</v>
      </c>
      <c r="O39">
        <v>746655.61643835611</v>
      </c>
      <c r="P39" s="16">
        <f t="shared" si="4"/>
        <v>466500</v>
      </c>
      <c r="Q39" s="22">
        <v>466500</v>
      </c>
      <c r="R39" s="30"/>
      <c r="S39" s="7">
        <f t="shared" si="3"/>
        <v>95</v>
      </c>
      <c r="T39" s="7">
        <v>20251231</v>
      </c>
    </row>
    <row r="40" spans="1:20" ht="18.600000000000001">
      <c r="A40" t="s">
        <v>530</v>
      </c>
      <c r="B40" s="18" t="s">
        <v>465</v>
      </c>
      <c r="C40" s="15" t="s">
        <v>636</v>
      </c>
      <c r="D40" t="s">
        <v>575</v>
      </c>
      <c r="E40" t="s">
        <v>1</v>
      </c>
      <c r="F40" t="s">
        <v>575</v>
      </c>
      <c r="G40" s="21">
        <v>60</v>
      </c>
      <c r="H40" t="s">
        <v>2</v>
      </c>
      <c r="I40" s="22">
        <v>1348324</v>
      </c>
      <c r="J40">
        <v>0</v>
      </c>
      <c r="K40">
        <v>1</v>
      </c>
      <c r="L40">
        <f t="shared" si="0"/>
        <v>-35</v>
      </c>
      <c r="M40">
        <v>0</v>
      </c>
      <c r="N40">
        <v>104</v>
      </c>
      <c r="O40">
        <v>2158057.207671233</v>
      </c>
      <c r="P40" s="16">
        <f t="shared" si="4"/>
        <v>1348324</v>
      </c>
      <c r="Q40" s="22">
        <v>1348324</v>
      </c>
      <c r="R40" s="30"/>
      <c r="S40" s="7">
        <f t="shared" si="3"/>
        <v>95</v>
      </c>
      <c r="T40" s="7">
        <v>20251231</v>
      </c>
    </row>
    <row r="41" spans="1:20" ht="18.600000000000001">
      <c r="A41" t="s">
        <v>531</v>
      </c>
      <c r="B41" s="18" t="s">
        <v>469</v>
      </c>
      <c r="C41" s="15" t="s">
        <v>637</v>
      </c>
      <c r="D41" t="s">
        <v>576</v>
      </c>
      <c r="E41" t="s">
        <v>1</v>
      </c>
      <c r="F41" t="s">
        <v>576</v>
      </c>
      <c r="G41" s="21">
        <v>60</v>
      </c>
      <c r="H41" t="s">
        <v>2</v>
      </c>
      <c r="I41" s="22">
        <v>4890000</v>
      </c>
      <c r="J41">
        <v>0</v>
      </c>
      <c r="K41">
        <v>1</v>
      </c>
      <c r="L41">
        <f t="shared" si="0"/>
        <v>-20</v>
      </c>
      <c r="M41">
        <v>0</v>
      </c>
      <c r="N41">
        <v>104</v>
      </c>
      <c r="O41">
        <v>6529824.6575342463</v>
      </c>
      <c r="P41" s="16">
        <f t="shared" si="4"/>
        <v>4890000</v>
      </c>
      <c r="Q41" s="22">
        <v>4890000</v>
      </c>
      <c r="R41" s="30"/>
      <c r="S41" s="7">
        <f t="shared" si="3"/>
        <v>80</v>
      </c>
      <c r="T41" s="7">
        <v>20251231</v>
      </c>
    </row>
    <row r="42" spans="1:20" ht="18.600000000000001">
      <c r="A42" t="s">
        <v>532</v>
      </c>
      <c r="B42" s="18" t="s">
        <v>470</v>
      </c>
      <c r="C42" s="15" t="s">
        <v>638</v>
      </c>
      <c r="D42" t="s">
        <v>577</v>
      </c>
      <c r="E42" t="s">
        <v>1</v>
      </c>
      <c r="F42" t="s">
        <v>577</v>
      </c>
      <c r="G42" s="21">
        <v>60</v>
      </c>
      <c r="H42" t="s">
        <v>2</v>
      </c>
      <c r="I42" s="22">
        <v>569000</v>
      </c>
      <c r="J42">
        <v>0</v>
      </c>
      <c r="K42">
        <v>1</v>
      </c>
      <c r="L42">
        <f t="shared" si="0"/>
        <v>-15</v>
      </c>
      <c r="M42">
        <v>0</v>
      </c>
      <c r="N42">
        <v>104</v>
      </c>
      <c r="O42">
        <v>716784.10958904109</v>
      </c>
      <c r="P42" s="16">
        <f t="shared" si="4"/>
        <v>569000</v>
      </c>
      <c r="Q42" s="22">
        <v>569000</v>
      </c>
      <c r="R42" s="30"/>
      <c r="S42" s="7">
        <f t="shared" si="3"/>
        <v>75</v>
      </c>
      <c r="T42" s="7">
        <v>20251231</v>
      </c>
    </row>
    <row r="43" spans="1:20" ht="18.600000000000001">
      <c r="A43" t="s">
        <v>533</v>
      </c>
      <c r="B43" s="18" t="s">
        <v>471</v>
      </c>
      <c r="C43" s="15" t="s">
        <v>639</v>
      </c>
      <c r="D43" t="s">
        <v>578</v>
      </c>
      <c r="E43" t="s">
        <v>1</v>
      </c>
      <c r="F43" t="s">
        <v>578</v>
      </c>
      <c r="G43" s="21">
        <v>60</v>
      </c>
      <c r="H43" t="s">
        <v>2</v>
      </c>
      <c r="I43" s="22">
        <v>1573000</v>
      </c>
      <c r="J43">
        <v>0</v>
      </c>
      <c r="K43">
        <v>1</v>
      </c>
      <c r="L43">
        <f t="shared" si="0"/>
        <v>-14</v>
      </c>
      <c r="M43">
        <v>0</v>
      </c>
      <c r="N43">
        <v>104</v>
      </c>
      <c r="O43">
        <v>1966034.5205479451</v>
      </c>
      <c r="P43" s="16">
        <f t="shared" si="4"/>
        <v>1573000</v>
      </c>
      <c r="Q43" s="22">
        <v>1573000</v>
      </c>
      <c r="R43" s="30"/>
      <c r="S43" s="7">
        <f t="shared" si="3"/>
        <v>74</v>
      </c>
      <c r="T43" s="7">
        <v>20251231</v>
      </c>
    </row>
    <row r="44" spans="1:20" ht="18.600000000000001">
      <c r="A44" t="s">
        <v>534</v>
      </c>
      <c r="B44" s="18" t="s">
        <v>472</v>
      </c>
      <c r="C44" s="15" t="s">
        <v>640</v>
      </c>
      <c r="D44" t="s">
        <v>579</v>
      </c>
      <c r="E44" t="s">
        <v>1</v>
      </c>
      <c r="F44" t="s">
        <v>579</v>
      </c>
      <c r="G44" s="21">
        <v>60</v>
      </c>
      <c r="H44" t="s">
        <v>2</v>
      </c>
      <c r="I44" s="22">
        <v>2600000</v>
      </c>
      <c r="J44">
        <v>0</v>
      </c>
      <c r="K44">
        <v>1</v>
      </c>
      <c r="L44">
        <f t="shared" si="0"/>
        <v>-15</v>
      </c>
      <c r="M44">
        <v>0</v>
      </c>
      <c r="N44">
        <v>104</v>
      </c>
      <c r="O44">
        <v>3295232.8767123288</v>
      </c>
      <c r="P44" s="16">
        <f t="shared" si="4"/>
        <v>2600000</v>
      </c>
      <c r="Q44" s="22">
        <v>2600000</v>
      </c>
      <c r="R44" s="30"/>
      <c r="S44" s="7">
        <f t="shared" si="3"/>
        <v>75</v>
      </c>
      <c r="T44" s="7">
        <v>20251231</v>
      </c>
    </row>
    <row r="45" spans="1:20" ht="18.600000000000001">
      <c r="A45" t="s">
        <v>535</v>
      </c>
      <c r="B45" s="18" t="s">
        <v>472</v>
      </c>
      <c r="C45" s="15" t="s">
        <v>641</v>
      </c>
      <c r="D45" t="s">
        <v>580</v>
      </c>
      <c r="E45" t="s">
        <v>1</v>
      </c>
      <c r="F45" t="s">
        <v>580</v>
      </c>
      <c r="G45" s="21">
        <v>60</v>
      </c>
      <c r="H45" t="s">
        <v>2</v>
      </c>
      <c r="I45" s="22">
        <v>2870000</v>
      </c>
      <c r="J45">
        <v>0</v>
      </c>
      <c r="K45">
        <v>1</v>
      </c>
      <c r="L45">
        <f t="shared" si="0"/>
        <v>-20</v>
      </c>
      <c r="M45">
        <v>0</v>
      </c>
      <c r="N45">
        <v>104</v>
      </c>
      <c r="O45">
        <v>3843441.0958904107</v>
      </c>
      <c r="P45" s="16">
        <f t="shared" si="4"/>
        <v>2870000</v>
      </c>
      <c r="Q45" s="22">
        <v>2870000</v>
      </c>
      <c r="R45" s="30"/>
      <c r="S45" s="7">
        <f t="shared" si="3"/>
        <v>80</v>
      </c>
      <c r="T45" s="7">
        <v>20251231</v>
      </c>
    </row>
    <row r="46" spans="1:20" ht="18.600000000000001">
      <c r="A46" t="s">
        <v>536</v>
      </c>
      <c r="B46" s="18" t="s">
        <v>466</v>
      </c>
      <c r="C46" s="15" t="s">
        <v>642</v>
      </c>
      <c r="D46" t="s">
        <v>581</v>
      </c>
      <c r="E46" t="s">
        <v>1</v>
      </c>
      <c r="F46" t="s">
        <v>581</v>
      </c>
      <c r="G46" s="21">
        <v>60</v>
      </c>
      <c r="H46" t="s">
        <v>2</v>
      </c>
      <c r="I46" s="22">
        <v>9362500</v>
      </c>
      <c r="J46">
        <v>0</v>
      </c>
      <c r="K46">
        <v>1</v>
      </c>
      <c r="L46">
        <f t="shared" si="0"/>
        <v>-15</v>
      </c>
      <c r="M46">
        <v>0</v>
      </c>
      <c r="N46">
        <v>104</v>
      </c>
      <c r="O46">
        <v>11773664.383561643</v>
      </c>
      <c r="P46" s="16">
        <f t="shared" si="4"/>
        <v>9362500</v>
      </c>
      <c r="Q46" s="22">
        <v>9362500</v>
      </c>
      <c r="R46" s="30"/>
      <c r="S46" s="7">
        <f t="shared" si="3"/>
        <v>75</v>
      </c>
      <c r="T46" s="7">
        <v>20251231</v>
      </c>
    </row>
    <row r="47" spans="1:20" ht="18.600000000000001">
      <c r="A47" t="s">
        <v>537</v>
      </c>
      <c r="B47" s="18" t="s">
        <v>473</v>
      </c>
      <c r="C47" s="15" t="s">
        <v>643</v>
      </c>
      <c r="D47" t="s">
        <v>582</v>
      </c>
      <c r="E47" t="s">
        <v>1</v>
      </c>
      <c r="F47" t="s">
        <v>582</v>
      </c>
      <c r="G47" s="21">
        <v>60</v>
      </c>
      <c r="H47" t="s">
        <v>2</v>
      </c>
      <c r="I47" s="22">
        <v>1422478.4</v>
      </c>
      <c r="J47">
        <v>0</v>
      </c>
      <c r="K47">
        <v>1</v>
      </c>
      <c r="L47">
        <f t="shared" si="0"/>
        <v>5</v>
      </c>
      <c r="M47">
        <f t="shared" si="1"/>
        <v>4</v>
      </c>
      <c r="N47">
        <v>104</v>
      </c>
      <c r="O47">
        <v>1321930.6117260272</v>
      </c>
      <c r="P47">
        <f t="shared" si="2"/>
        <v>1321930.6100000001</v>
      </c>
      <c r="Q47" s="22">
        <v>1422478.4</v>
      </c>
      <c r="R47" s="30"/>
      <c r="S47" s="7">
        <f t="shared" si="3"/>
        <v>55</v>
      </c>
      <c r="T47" s="7">
        <v>20251231</v>
      </c>
    </row>
    <row r="48" spans="1:20" ht="18.600000000000001">
      <c r="A48" t="s">
        <v>538</v>
      </c>
      <c r="B48" s="18" t="s">
        <v>474</v>
      </c>
      <c r="C48" s="15" t="s">
        <v>644</v>
      </c>
      <c r="D48" t="s">
        <v>583</v>
      </c>
      <c r="E48" t="s">
        <v>1</v>
      </c>
      <c r="F48" t="s">
        <v>583</v>
      </c>
      <c r="G48" s="21">
        <v>60</v>
      </c>
      <c r="H48" t="s">
        <v>2</v>
      </c>
      <c r="I48" s="22">
        <v>12635870</v>
      </c>
      <c r="J48">
        <v>0</v>
      </c>
      <c r="K48">
        <v>1</v>
      </c>
      <c r="L48">
        <f t="shared" si="0"/>
        <v>8</v>
      </c>
      <c r="M48">
        <f t="shared" si="1"/>
        <v>7</v>
      </c>
      <c r="N48">
        <v>104</v>
      </c>
      <c r="O48">
        <v>11154184.421917809</v>
      </c>
      <c r="P48">
        <f t="shared" si="2"/>
        <v>11154184.42</v>
      </c>
      <c r="Q48" s="22">
        <v>12635870</v>
      </c>
      <c r="R48" s="30"/>
      <c r="S48" s="7">
        <f t="shared" si="3"/>
        <v>52</v>
      </c>
      <c r="T48" s="7">
        <v>20251231</v>
      </c>
    </row>
    <row r="49" spans="1:20" ht="18.600000000000001">
      <c r="A49" t="s">
        <v>539</v>
      </c>
      <c r="B49" s="18" t="s">
        <v>475</v>
      </c>
      <c r="C49" s="15" t="s">
        <v>645</v>
      </c>
      <c r="D49" t="s">
        <v>584</v>
      </c>
      <c r="E49" t="s">
        <v>1</v>
      </c>
      <c r="F49" t="s">
        <v>584</v>
      </c>
      <c r="G49" s="21">
        <v>60</v>
      </c>
      <c r="H49" t="s">
        <v>2</v>
      </c>
      <c r="I49" s="22">
        <v>5800542.2999999998</v>
      </c>
      <c r="J49">
        <v>0</v>
      </c>
      <c r="K49">
        <v>1</v>
      </c>
      <c r="L49">
        <f t="shared" si="0"/>
        <v>10</v>
      </c>
      <c r="M49">
        <f t="shared" si="1"/>
        <v>9</v>
      </c>
      <c r="N49">
        <v>104</v>
      </c>
      <c r="O49">
        <v>4923309.6014794521</v>
      </c>
      <c r="P49">
        <f t="shared" si="2"/>
        <v>4923309.5999999996</v>
      </c>
      <c r="Q49" s="22">
        <v>5800542.2999999998</v>
      </c>
      <c r="R49" s="30"/>
      <c r="S49" s="7">
        <f t="shared" si="3"/>
        <v>50</v>
      </c>
      <c r="T49" s="7">
        <v>20251231</v>
      </c>
    </row>
    <row r="50" spans="1:20" ht="18.600000000000001">
      <c r="A50" t="s">
        <v>540</v>
      </c>
      <c r="B50" s="18" t="s">
        <v>476</v>
      </c>
      <c r="C50" s="15" t="s">
        <v>646</v>
      </c>
      <c r="D50" t="s">
        <v>585</v>
      </c>
      <c r="E50" t="s">
        <v>1</v>
      </c>
      <c r="F50" t="s">
        <v>585</v>
      </c>
      <c r="G50" s="21">
        <v>60</v>
      </c>
      <c r="H50" t="s">
        <v>2</v>
      </c>
      <c r="I50" s="22">
        <v>1118000</v>
      </c>
      <c r="J50">
        <v>0</v>
      </c>
      <c r="K50">
        <v>1</v>
      </c>
      <c r="L50">
        <f t="shared" si="0"/>
        <v>10</v>
      </c>
      <c r="M50">
        <f t="shared" si="1"/>
        <v>9</v>
      </c>
      <c r="N50">
        <v>104</v>
      </c>
      <c r="O50">
        <v>944020.82191780815</v>
      </c>
      <c r="P50">
        <f t="shared" si="2"/>
        <v>944020.82</v>
      </c>
      <c r="Q50" s="22">
        <v>1118000</v>
      </c>
      <c r="R50" s="30"/>
      <c r="S50" s="7">
        <f t="shared" si="3"/>
        <v>50</v>
      </c>
      <c r="T50" s="7">
        <v>20251231</v>
      </c>
    </row>
    <row r="51" spans="1:20" ht="18.600000000000001">
      <c r="A51" t="s">
        <v>541</v>
      </c>
      <c r="B51" s="18" t="s">
        <v>477</v>
      </c>
      <c r="C51" s="15" t="s">
        <v>647</v>
      </c>
      <c r="D51" t="s">
        <v>586</v>
      </c>
      <c r="E51" t="s">
        <v>1</v>
      </c>
      <c r="F51" t="s">
        <v>586</v>
      </c>
      <c r="G51" s="21">
        <v>60</v>
      </c>
      <c r="H51" t="s">
        <v>2</v>
      </c>
      <c r="I51" s="22">
        <v>4577948.7299999995</v>
      </c>
      <c r="J51">
        <v>0</v>
      </c>
      <c r="K51">
        <v>1</v>
      </c>
      <c r="L51">
        <f t="shared" si="0"/>
        <v>14</v>
      </c>
      <c r="M51">
        <f t="shared" si="1"/>
        <v>13</v>
      </c>
      <c r="N51">
        <v>104</v>
      </c>
      <c r="O51">
        <v>3549478.056410959</v>
      </c>
      <c r="P51">
        <f t="shared" si="2"/>
        <v>3549478.06</v>
      </c>
      <c r="Q51" s="22">
        <v>4577948.7299999995</v>
      </c>
      <c r="R51" s="30"/>
      <c r="S51" s="7">
        <f t="shared" si="3"/>
        <v>46</v>
      </c>
      <c r="T51" s="7">
        <v>20251231</v>
      </c>
    </row>
    <row r="52" spans="1:20" ht="18.600000000000001">
      <c r="A52" t="s">
        <v>542</v>
      </c>
      <c r="B52" s="18" t="s">
        <v>478</v>
      </c>
      <c r="C52" s="15" t="s">
        <v>648</v>
      </c>
      <c r="D52" t="s">
        <v>587</v>
      </c>
      <c r="E52" t="s">
        <v>1</v>
      </c>
      <c r="F52" t="s">
        <v>587</v>
      </c>
      <c r="G52" s="21">
        <v>60</v>
      </c>
      <c r="H52" t="s">
        <v>2</v>
      </c>
      <c r="I52" s="22">
        <v>3700000</v>
      </c>
      <c r="J52">
        <v>0</v>
      </c>
      <c r="K52">
        <v>1</v>
      </c>
      <c r="L52">
        <f t="shared" si="0"/>
        <v>16</v>
      </c>
      <c r="M52">
        <f t="shared" si="1"/>
        <v>15</v>
      </c>
      <c r="N52">
        <v>104</v>
      </c>
      <c r="O52">
        <v>2769424.6575342468</v>
      </c>
      <c r="P52">
        <f t="shared" si="2"/>
        <v>2769424.66</v>
      </c>
      <c r="Q52" s="22">
        <v>3700000</v>
      </c>
      <c r="R52" s="30"/>
      <c r="S52" s="7">
        <f t="shared" si="3"/>
        <v>44</v>
      </c>
      <c r="T52" s="7">
        <v>20251231</v>
      </c>
    </row>
    <row r="53" spans="1:20" ht="18.600000000000001">
      <c r="A53" t="s">
        <v>543</v>
      </c>
      <c r="B53" s="18" t="s">
        <v>479</v>
      </c>
      <c r="C53" s="15" t="s">
        <v>649</v>
      </c>
      <c r="D53" t="s">
        <v>588</v>
      </c>
      <c r="E53" t="s">
        <v>1</v>
      </c>
      <c r="F53" t="s">
        <v>588</v>
      </c>
      <c r="G53" s="21">
        <v>60</v>
      </c>
      <c r="H53" t="s">
        <v>2</v>
      </c>
      <c r="I53" s="22">
        <v>4500000</v>
      </c>
      <c r="J53">
        <v>0</v>
      </c>
      <c r="K53">
        <v>1</v>
      </c>
      <c r="L53">
        <f t="shared" si="0"/>
        <v>19</v>
      </c>
      <c r="M53">
        <f t="shared" si="1"/>
        <v>18</v>
      </c>
      <c r="N53">
        <v>104</v>
      </c>
      <c r="O53">
        <v>3092054.7945205481</v>
      </c>
      <c r="P53">
        <f t="shared" si="2"/>
        <v>3092054.79</v>
      </c>
      <c r="Q53" s="22">
        <v>4500000</v>
      </c>
      <c r="R53" s="30"/>
      <c r="S53" s="7">
        <f t="shared" si="3"/>
        <v>41</v>
      </c>
      <c r="T53" s="7">
        <v>20251231</v>
      </c>
    </row>
    <row r="54" spans="1:20" ht="18.600000000000001">
      <c r="A54" t="s">
        <v>544</v>
      </c>
      <c r="B54" s="18" t="s">
        <v>480</v>
      </c>
      <c r="C54" s="15" t="s">
        <v>650</v>
      </c>
      <c r="D54" t="s">
        <v>589</v>
      </c>
      <c r="E54" t="s">
        <v>1</v>
      </c>
      <c r="F54" t="s">
        <v>589</v>
      </c>
      <c r="G54" s="21">
        <v>60</v>
      </c>
      <c r="H54" t="s">
        <v>2</v>
      </c>
      <c r="I54" s="22">
        <v>5920491</v>
      </c>
      <c r="J54">
        <v>0</v>
      </c>
      <c r="K54">
        <v>1</v>
      </c>
      <c r="L54">
        <f t="shared" si="0"/>
        <v>21</v>
      </c>
      <c r="M54">
        <f t="shared" si="1"/>
        <v>20</v>
      </c>
      <c r="N54">
        <v>104</v>
      </c>
      <c r="O54">
        <v>3879949.1704109591</v>
      </c>
      <c r="P54">
        <f t="shared" si="2"/>
        <v>3879949.17</v>
      </c>
      <c r="Q54" s="22">
        <v>5920491</v>
      </c>
      <c r="R54" s="30"/>
      <c r="S54" s="7">
        <f t="shared" si="3"/>
        <v>39</v>
      </c>
      <c r="T54" s="7">
        <v>20251231</v>
      </c>
    </row>
    <row r="55" spans="1:20" ht="18.600000000000001">
      <c r="A55" t="s">
        <v>545</v>
      </c>
      <c r="B55" s="18" t="s">
        <v>481</v>
      </c>
      <c r="C55" s="15" t="s">
        <v>651</v>
      </c>
      <c r="D55" t="s">
        <v>590</v>
      </c>
      <c r="E55" t="s">
        <v>1</v>
      </c>
      <c r="F55" t="s">
        <v>590</v>
      </c>
      <c r="G55" s="21">
        <v>60</v>
      </c>
      <c r="H55" t="s">
        <v>2</v>
      </c>
      <c r="I55" s="22">
        <v>3538220</v>
      </c>
      <c r="J55">
        <v>0</v>
      </c>
      <c r="K55">
        <v>1</v>
      </c>
      <c r="L55">
        <f t="shared" si="0"/>
        <v>25</v>
      </c>
      <c r="M55">
        <f t="shared" si="1"/>
        <v>24</v>
      </c>
      <c r="N55">
        <v>104</v>
      </c>
      <c r="O55">
        <v>2066708.2301369864</v>
      </c>
      <c r="P55">
        <f t="shared" si="2"/>
        <v>2066708.23</v>
      </c>
      <c r="Q55" s="22">
        <v>3538220</v>
      </c>
      <c r="R55" s="30"/>
      <c r="S55" s="7">
        <f t="shared" si="3"/>
        <v>35</v>
      </c>
      <c r="T55" s="7">
        <v>20251231</v>
      </c>
    </row>
    <row r="56" spans="1:20" ht="18.600000000000001">
      <c r="A56" t="s">
        <v>546</v>
      </c>
      <c r="B56" s="18" t="s">
        <v>482</v>
      </c>
      <c r="C56" s="15" t="s">
        <v>652</v>
      </c>
      <c r="D56" t="s">
        <v>590</v>
      </c>
      <c r="E56" t="s">
        <v>1</v>
      </c>
      <c r="F56" t="s">
        <v>590</v>
      </c>
      <c r="G56" s="21">
        <v>60</v>
      </c>
      <c r="H56" t="s">
        <v>2</v>
      </c>
      <c r="I56" s="22">
        <v>6975348</v>
      </c>
      <c r="J56">
        <v>0</v>
      </c>
      <c r="K56">
        <v>1</v>
      </c>
      <c r="L56">
        <f t="shared" si="0"/>
        <v>25</v>
      </c>
      <c r="M56">
        <f t="shared" si="1"/>
        <v>24</v>
      </c>
      <c r="N56">
        <v>104</v>
      </c>
      <c r="O56">
        <v>4074367.6536986302</v>
      </c>
      <c r="P56">
        <f t="shared" si="2"/>
        <v>4074367.65</v>
      </c>
      <c r="Q56" s="22">
        <v>6975348</v>
      </c>
      <c r="R56" s="30"/>
      <c r="S56" s="7">
        <f t="shared" si="3"/>
        <v>35</v>
      </c>
      <c r="T56" s="7">
        <v>20251231</v>
      </c>
    </row>
    <row r="57" spans="1:20" ht="18.600000000000001">
      <c r="A57" t="s">
        <v>547</v>
      </c>
      <c r="B57" s="18" t="s">
        <v>483</v>
      </c>
      <c r="C57" s="15" t="s">
        <v>653</v>
      </c>
      <c r="D57" t="s">
        <v>591</v>
      </c>
      <c r="E57" t="s">
        <v>1</v>
      </c>
      <c r="F57" t="s">
        <v>591</v>
      </c>
      <c r="G57" s="21">
        <v>60</v>
      </c>
      <c r="H57" t="s">
        <v>2</v>
      </c>
      <c r="I57" s="22">
        <v>900000</v>
      </c>
      <c r="J57">
        <v>0</v>
      </c>
      <c r="K57">
        <v>1</v>
      </c>
      <c r="L57">
        <f t="shared" si="0"/>
        <v>26</v>
      </c>
      <c r="M57">
        <f t="shared" si="1"/>
        <v>25</v>
      </c>
      <c r="N57">
        <v>104</v>
      </c>
      <c r="O57">
        <v>518794.52054794517</v>
      </c>
      <c r="P57">
        <f t="shared" si="2"/>
        <v>518794.52</v>
      </c>
      <c r="Q57" s="22">
        <v>900000</v>
      </c>
      <c r="R57" s="30"/>
      <c r="S57" s="7">
        <f t="shared" si="3"/>
        <v>34</v>
      </c>
      <c r="T57" s="7">
        <v>20251231</v>
      </c>
    </row>
    <row r="58" spans="1:20" ht="18.600000000000001">
      <c r="A58" t="s">
        <v>548</v>
      </c>
      <c r="B58" s="18" t="s">
        <v>484</v>
      </c>
      <c r="C58" s="15" t="s">
        <v>654</v>
      </c>
      <c r="D58" t="s">
        <v>591</v>
      </c>
      <c r="E58" t="s">
        <v>1</v>
      </c>
      <c r="F58" t="s">
        <v>591</v>
      </c>
      <c r="G58" s="21">
        <v>60</v>
      </c>
      <c r="H58" t="s">
        <v>2</v>
      </c>
      <c r="I58" s="22">
        <v>4769285</v>
      </c>
      <c r="J58">
        <v>0</v>
      </c>
      <c r="K58">
        <v>1</v>
      </c>
      <c r="L58">
        <f t="shared" si="0"/>
        <v>26</v>
      </c>
      <c r="M58">
        <f t="shared" si="1"/>
        <v>25</v>
      </c>
      <c r="N58">
        <v>104</v>
      </c>
      <c r="O58">
        <v>2749198.805479452</v>
      </c>
      <c r="P58">
        <f t="shared" si="2"/>
        <v>2749198.81</v>
      </c>
      <c r="Q58" s="22">
        <v>4769285</v>
      </c>
      <c r="R58" s="30"/>
      <c r="S58" s="7">
        <f t="shared" si="3"/>
        <v>34</v>
      </c>
      <c r="T58" s="7">
        <v>20251231</v>
      </c>
    </row>
    <row r="59" spans="1:20" ht="18.600000000000001">
      <c r="A59" t="s">
        <v>549</v>
      </c>
      <c r="B59" s="18" t="s">
        <v>485</v>
      </c>
      <c r="C59" s="15" t="s">
        <v>655</v>
      </c>
      <c r="D59" t="s">
        <v>592</v>
      </c>
      <c r="E59" t="s">
        <v>1</v>
      </c>
      <c r="F59" t="s">
        <v>592</v>
      </c>
      <c r="G59" s="21">
        <v>60</v>
      </c>
      <c r="H59" t="s">
        <v>2</v>
      </c>
      <c r="I59" s="22">
        <v>2912238</v>
      </c>
      <c r="J59">
        <v>0</v>
      </c>
      <c r="K59">
        <v>1</v>
      </c>
      <c r="L59">
        <f t="shared" si="0"/>
        <v>27</v>
      </c>
      <c r="M59">
        <f t="shared" si="1"/>
        <v>26</v>
      </c>
      <c r="N59">
        <v>104</v>
      </c>
      <c r="O59">
        <v>1610108.5709589042</v>
      </c>
      <c r="P59">
        <f t="shared" si="2"/>
        <v>1610108.57</v>
      </c>
      <c r="Q59" s="22">
        <v>2912238</v>
      </c>
      <c r="R59" s="30"/>
      <c r="S59" s="7">
        <f t="shared" si="3"/>
        <v>33</v>
      </c>
      <c r="T59" s="7">
        <v>20251231</v>
      </c>
    </row>
    <row r="60" spans="1:20" ht="18.600000000000001">
      <c r="A60" t="s">
        <v>550</v>
      </c>
      <c r="B60" s="18" t="s">
        <v>486</v>
      </c>
      <c r="C60" s="15" t="s">
        <v>656</v>
      </c>
      <c r="D60" t="s">
        <v>593</v>
      </c>
      <c r="E60" t="s">
        <v>1</v>
      </c>
      <c r="F60" t="s">
        <v>593</v>
      </c>
      <c r="G60" s="21">
        <v>60</v>
      </c>
      <c r="H60" t="s">
        <v>2</v>
      </c>
      <c r="I60" s="22">
        <v>5954344</v>
      </c>
      <c r="J60">
        <v>0</v>
      </c>
      <c r="K60">
        <v>1</v>
      </c>
      <c r="L60">
        <f t="shared" si="0"/>
        <v>29</v>
      </c>
      <c r="M60">
        <f t="shared" si="1"/>
        <v>28</v>
      </c>
      <c r="N60">
        <v>104</v>
      </c>
      <c r="O60">
        <v>3102784.1884931508</v>
      </c>
      <c r="P60">
        <f t="shared" si="2"/>
        <v>3102784.19</v>
      </c>
      <c r="Q60" s="22">
        <v>5954344</v>
      </c>
      <c r="R60" s="30"/>
      <c r="S60" s="7">
        <f t="shared" si="3"/>
        <v>31</v>
      </c>
      <c r="T60" s="7">
        <v>20251231</v>
      </c>
    </row>
    <row r="61" spans="1:20" ht="18.600000000000001">
      <c r="A61" t="s">
        <v>551</v>
      </c>
      <c r="B61" s="18" t="s">
        <v>487</v>
      </c>
      <c r="C61" s="15" t="s">
        <v>657</v>
      </c>
      <c r="D61" t="s">
        <v>594</v>
      </c>
      <c r="E61" t="s">
        <v>1</v>
      </c>
      <c r="F61" t="s">
        <v>594</v>
      </c>
      <c r="G61" s="21">
        <v>60</v>
      </c>
      <c r="H61" t="s">
        <v>2</v>
      </c>
      <c r="I61" s="22">
        <v>3775768</v>
      </c>
      <c r="J61">
        <v>0</v>
      </c>
      <c r="K61">
        <v>1</v>
      </c>
      <c r="L61">
        <f t="shared" si="0"/>
        <v>30</v>
      </c>
      <c r="M61">
        <f t="shared" si="1"/>
        <v>29</v>
      </c>
      <c r="N61">
        <v>104</v>
      </c>
      <c r="O61">
        <v>1893056.2849315067</v>
      </c>
      <c r="P61">
        <f t="shared" si="2"/>
        <v>1893056.28</v>
      </c>
      <c r="Q61" s="22">
        <v>3775768</v>
      </c>
      <c r="R61" s="30" t="s">
        <v>677</v>
      </c>
      <c r="S61" s="7">
        <f t="shared" si="3"/>
        <v>30</v>
      </c>
      <c r="T61" s="7">
        <v>20251231</v>
      </c>
    </row>
    <row r="62" spans="1:20" ht="18.600000000000001">
      <c r="A62" t="s">
        <v>552</v>
      </c>
      <c r="B62" s="24" t="s">
        <v>488</v>
      </c>
      <c r="C62" s="15" t="s">
        <v>658</v>
      </c>
      <c r="D62" t="s">
        <v>595</v>
      </c>
      <c r="E62" t="s">
        <v>1</v>
      </c>
      <c r="F62" t="s">
        <v>595</v>
      </c>
      <c r="G62" s="21">
        <v>60</v>
      </c>
      <c r="H62" t="s">
        <v>2</v>
      </c>
      <c r="I62" s="26">
        <v>12025000</v>
      </c>
      <c r="J62">
        <v>0</v>
      </c>
      <c r="K62">
        <v>1</v>
      </c>
      <c r="L62">
        <f t="shared" si="0"/>
        <v>51</v>
      </c>
      <c r="M62">
        <f t="shared" si="1"/>
        <v>50</v>
      </c>
      <c r="N62">
        <v>104</v>
      </c>
      <c r="O62">
        <v>1831753.4246575341</v>
      </c>
      <c r="P62">
        <f t="shared" si="2"/>
        <v>1831753.42</v>
      </c>
      <c r="Q62" s="26">
        <v>12025000</v>
      </c>
      <c r="R62" s="31" t="s">
        <v>678</v>
      </c>
      <c r="S62" s="7">
        <f t="shared" si="3"/>
        <v>9</v>
      </c>
      <c r="T62" s="7">
        <v>20251231</v>
      </c>
    </row>
    <row r="63" spans="1:20" ht="18.600000000000001">
      <c r="A63" t="s">
        <v>553</v>
      </c>
      <c r="B63" s="25" t="s">
        <v>489</v>
      </c>
      <c r="C63" s="15" t="s">
        <v>659</v>
      </c>
      <c r="D63" t="s">
        <v>596</v>
      </c>
      <c r="E63" t="s">
        <v>1</v>
      </c>
      <c r="F63" t="s">
        <v>596</v>
      </c>
      <c r="G63" s="21">
        <v>60</v>
      </c>
      <c r="H63" t="s">
        <v>2</v>
      </c>
      <c r="I63" s="27">
        <v>39600000</v>
      </c>
      <c r="J63">
        <v>0</v>
      </c>
      <c r="K63">
        <v>1</v>
      </c>
      <c r="L63">
        <f t="shared" si="0"/>
        <v>53</v>
      </c>
      <c r="M63">
        <f t="shared" si="1"/>
        <v>52</v>
      </c>
      <c r="N63">
        <v>104</v>
      </c>
      <c r="O63">
        <v>4708602.7397260265</v>
      </c>
      <c r="P63">
        <f t="shared" si="2"/>
        <v>4708602.74</v>
      </c>
      <c r="Q63" s="27">
        <v>39600000</v>
      </c>
      <c r="R63" s="31" t="s">
        <v>679</v>
      </c>
      <c r="S63" s="7">
        <f t="shared" si="3"/>
        <v>7</v>
      </c>
      <c r="T63" s="7">
        <v>20251231</v>
      </c>
    </row>
    <row r="64" spans="1:20" ht="18.600000000000001">
      <c r="A64" t="s">
        <v>554</v>
      </c>
      <c r="B64" s="25" t="s">
        <v>490</v>
      </c>
      <c r="C64" s="15" t="s">
        <v>660</v>
      </c>
      <c r="D64" t="s">
        <v>597</v>
      </c>
      <c r="E64" t="s">
        <v>1</v>
      </c>
      <c r="F64" t="s">
        <v>597</v>
      </c>
      <c r="G64" s="21">
        <v>60</v>
      </c>
      <c r="H64" t="s">
        <v>2</v>
      </c>
      <c r="I64" s="27">
        <v>28132500</v>
      </c>
      <c r="J64">
        <v>0</v>
      </c>
      <c r="K64">
        <v>1</v>
      </c>
      <c r="L64">
        <f t="shared" si="0"/>
        <v>53</v>
      </c>
      <c r="M64">
        <f t="shared" si="1"/>
        <v>52</v>
      </c>
      <c r="N64">
        <v>104</v>
      </c>
      <c r="O64">
        <v>3452975.3424657532</v>
      </c>
      <c r="P64">
        <f t="shared" si="2"/>
        <v>3452975.34</v>
      </c>
      <c r="Q64" s="27">
        <v>28132500</v>
      </c>
      <c r="R64" s="31" t="s">
        <v>680</v>
      </c>
      <c r="S64" s="7">
        <f t="shared" si="3"/>
        <v>7</v>
      </c>
      <c r="T64" s="7">
        <v>20251231</v>
      </c>
    </row>
    <row r="65" spans="1:20" ht="18.600000000000001">
      <c r="A65" t="s">
        <v>555</v>
      </c>
      <c r="B65" s="25" t="s">
        <v>491</v>
      </c>
      <c r="C65" s="15" t="s">
        <v>661</v>
      </c>
      <c r="D65" t="s">
        <v>598</v>
      </c>
      <c r="E65" t="s">
        <v>1</v>
      </c>
      <c r="F65" t="s">
        <v>598</v>
      </c>
      <c r="G65" s="21">
        <v>60</v>
      </c>
      <c r="H65" t="s">
        <v>2</v>
      </c>
      <c r="I65" s="27">
        <v>5440000</v>
      </c>
      <c r="J65">
        <v>0</v>
      </c>
      <c r="K65">
        <v>1</v>
      </c>
      <c r="L65">
        <f t="shared" si="0"/>
        <v>55</v>
      </c>
      <c r="M65">
        <f t="shared" si="1"/>
        <v>54</v>
      </c>
      <c r="N65">
        <v>104</v>
      </c>
      <c r="O65">
        <v>500778.08219178079</v>
      </c>
      <c r="P65">
        <f t="shared" si="2"/>
        <v>500778.08</v>
      </c>
      <c r="Q65" s="27">
        <v>5440000</v>
      </c>
      <c r="R65" s="31" t="s">
        <v>681</v>
      </c>
      <c r="S65" s="7">
        <f t="shared" si="3"/>
        <v>5</v>
      </c>
      <c r="T65" s="7">
        <v>20251231</v>
      </c>
    </row>
    <row r="66" spans="1:20">
      <c r="M66">
        <v>0</v>
      </c>
      <c r="P66" s="16">
        <f t="shared" ref="P66:P67" si="5">I66</f>
        <v>0</v>
      </c>
      <c r="R66" s="32" t="s">
        <v>682</v>
      </c>
    </row>
    <row r="67" spans="1:20">
      <c r="M67">
        <v>0</v>
      </c>
      <c r="P67" s="16">
        <f t="shared" si="5"/>
        <v>0</v>
      </c>
      <c r="R67" s="33" t="s">
        <v>683</v>
      </c>
    </row>
  </sheetData>
  <autoFilter ref="A1:T67" xr:uid="{F1CD418A-64C4-4408-A37A-B64D774DA6A8}"/>
  <phoneticPr fontId="6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7A4F-1267-459C-83AF-C84BE2308243}">
  <dimension ref="A1:T94"/>
  <sheetViews>
    <sheetView topLeftCell="A76" zoomScale="70" zoomScaleNormal="70" workbookViewId="0">
      <selection activeCell="M2" sqref="M2:M93"/>
    </sheetView>
  </sheetViews>
  <sheetFormatPr defaultRowHeight="13.8"/>
  <cols>
    <col min="2" max="2" width="115.296875" customWidth="1"/>
    <col min="5" max="5" width="15.09765625" bestFit="1" customWidth="1"/>
    <col min="9" max="9" width="13.5" bestFit="1" customWidth="1"/>
    <col min="12" max="12" width="12.5" bestFit="1" customWidth="1"/>
    <col min="14" max="14" width="10.296875" bestFit="1" customWidth="1"/>
    <col min="15" max="15" width="25" bestFit="1" customWidth="1"/>
    <col min="16" max="16" width="12" bestFit="1" customWidth="1"/>
    <col min="17" max="17" width="11.3984375" bestFit="1" customWidth="1"/>
    <col min="18" max="18" width="33" bestFit="1" customWidth="1"/>
    <col min="20" max="20" width="9.8984375" bestFit="1" customWidth="1"/>
  </cols>
  <sheetData>
    <row r="1" spans="1:20" s="10" customFormat="1" ht="15.6">
      <c r="A1" s="1" t="s">
        <v>131</v>
      </c>
      <c r="B1" s="1" t="s">
        <v>132</v>
      </c>
      <c r="C1" s="1" t="s">
        <v>133</v>
      </c>
      <c r="D1" s="8" t="s">
        <v>134</v>
      </c>
      <c r="E1" s="1" t="s">
        <v>135</v>
      </c>
      <c r="F1" s="1" t="s">
        <v>136</v>
      </c>
      <c r="G1" s="3" t="s">
        <v>137</v>
      </c>
      <c r="H1" s="1" t="s">
        <v>138</v>
      </c>
      <c r="I1" s="4" t="s">
        <v>139</v>
      </c>
      <c r="J1" s="1" t="s">
        <v>140</v>
      </c>
      <c r="K1" s="1" t="s">
        <v>141</v>
      </c>
      <c r="L1" s="1" t="s">
        <v>142</v>
      </c>
      <c r="M1" s="1"/>
      <c r="N1" s="1" t="s">
        <v>143</v>
      </c>
      <c r="O1" s="5" t="s">
        <v>144</v>
      </c>
      <c r="P1" s="5"/>
      <c r="Q1" s="6" t="s">
        <v>145</v>
      </c>
      <c r="R1" s="9" t="s">
        <v>146</v>
      </c>
    </row>
    <row r="2" spans="1:20" ht="27.6">
      <c r="A2" t="s">
        <v>738</v>
      </c>
      <c r="B2" s="18" t="s">
        <v>684</v>
      </c>
      <c r="C2" t="s">
        <v>600</v>
      </c>
      <c r="D2" t="s">
        <v>830</v>
      </c>
      <c r="E2" t="s">
        <v>1</v>
      </c>
      <c r="F2" t="s">
        <v>830</v>
      </c>
      <c r="G2" s="21">
        <v>60</v>
      </c>
      <c r="H2" t="s">
        <v>2</v>
      </c>
      <c r="I2" s="22">
        <v>1848000</v>
      </c>
      <c r="J2">
        <v>0</v>
      </c>
      <c r="K2">
        <v>1</v>
      </c>
      <c r="L2">
        <f>G2-S2</f>
        <v>44</v>
      </c>
      <c r="M2">
        <f>L2-1</f>
        <v>43</v>
      </c>
      <c r="N2">
        <v>104</v>
      </c>
      <c r="O2">
        <v>511364.38356164383</v>
      </c>
      <c r="P2">
        <f>ROUND(O2, 2)</f>
        <v>511364.38</v>
      </c>
      <c r="Q2" s="16">
        <f>I2</f>
        <v>1848000</v>
      </c>
      <c r="R2" s="28" t="s">
        <v>867</v>
      </c>
      <c r="S2" s="7">
        <f>DATEDIF(DATE(LEFT(D2,4),MID(D2,5,2),MID(D2,7,2)), DATE(LEFT(T2,4),MID(T2,5,2),MID(T2,7,2)),"m")</f>
        <v>16</v>
      </c>
      <c r="T2" s="7">
        <v>20251231</v>
      </c>
    </row>
    <row r="3" spans="1:20" ht="27.6">
      <c r="A3" t="s">
        <v>739</v>
      </c>
      <c r="B3" s="18" t="s">
        <v>684</v>
      </c>
      <c r="C3" t="s">
        <v>600</v>
      </c>
      <c r="D3" t="s">
        <v>830</v>
      </c>
      <c r="E3" t="s">
        <v>1</v>
      </c>
      <c r="F3" t="s">
        <v>830</v>
      </c>
      <c r="G3" s="21">
        <v>60</v>
      </c>
      <c r="H3" t="s">
        <v>2</v>
      </c>
      <c r="I3" s="22">
        <v>1848000</v>
      </c>
      <c r="J3">
        <v>0</v>
      </c>
      <c r="K3">
        <v>1</v>
      </c>
      <c r="L3">
        <f t="shared" ref="L3:L66" si="0">G3-S3</f>
        <v>44</v>
      </c>
      <c r="M3">
        <f t="shared" ref="M3:M34" si="1">L3-1</f>
        <v>43</v>
      </c>
      <c r="N3">
        <v>104</v>
      </c>
      <c r="O3">
        <v>511364.38356164383</v>
      </c>
      <c r="P3">
        <f t="shared" ref="P3:P66" si="2">ROUND(O3, 2)</f>
        <v>511364.38</v>
      </c>
      <c r="Q3" s="16">
        <f t="shared" ref="Q3:Q66" si="3">I3</f>
        <v>1848000</v>
      </c>
      <c r="R3" s="28" t="s">
        <v>868</v>
      </c>
      <c r="S3" s="7">
        <f t="shared" ref="S3:S66" si="4">DATEDIF(DATE(LEFT(D3,4),MID(D3,5,2),MID(D3,7,2)), DATE(LEFT(T3,4),MID(T3,5,2),MID(T3,7,2)),"m")</f>
        <v>16</v>
      </c>
      <c r="T3" s="7">
        <v>20251231</v>
      </c>
    </row>
    <row r="4" spans="1:20" ht="27.6">
      <c r="A4" t="s">
        <v>740</v>
      </c>
      <c r="B4" s="18" t="s">
        <v>685</v>
      </c>
      <c r="C4" t="s">
        <v>600</v>
      </c>
      <c r="D4" t="s">
        <v>557</v>
      </c>
      <c r="E4" t="s">
        <v>1</v>
      </c>
      <c r="F4" t="s">
        <v>557</v>
      </c>
      <c r="G4" s="21">
        <v>60</v>
      </c>
      <c r="H4" t="s">
        <v>2</v>
      </c>
      <c r="I4" s="22">
        <v>12725900</v>
      </c>
      <c r="J4">
        <v>0</v>
      </c>
      <c r="K4">
        <v>1</v>
      </c>
      <c r="L4">
        <f t="shared" si="0"/>
        <v>46</v>
      </c>
      <c r="M4">
        <f t="shared" si="1"/>
        <v>45</v>
      </c>
      <c r="N4">
        <v>104</v>
      </c>
      <c r="O4">
        <v>3123946.9589041099</v>
      </c>
      <c r="P4">
        <f t="shared" si="2"/>
        <v>3123946.96</v>
      </c>
      <c r="Q4" s="16">
        <f t="shared" si="3"/>
        <v>12725900</v>
      </c>
      <c r="R4" s="28" t="s">
        <v>869</v>
      </c>
      <c r="S4" s="7">
        <f t="shared" si="4"/>
        <v>14</v>
      </c>
      <c r="T4" s="7">
        <v>20251231</v>
      </c>
    </row>
    <row r="5" spans="1:20" ht="27.6">
      <c r="A5" t="s">
        <v>741</v>
      </c>
      <c r="B5" s="18" t="s">
        <v>685</v>
      </c>
      <c r="C5" t="s">
        <v>600</v>
      </c>
      <c r="D5" t="s">
        <v>557</v>
      </c>
      <c r="E5" t="s">
        <v>1</v>
      </c>
      <c r="F5" t="s">
        <v>557</v>
      </c>
      <c r="G5" s="21">
        <v>60</v>
      </c>
      <c r="H5" t="s">
        <v>2</v>
      </c>
      <c r="I5" s="22">
        <v>12725900</v>
      </c>
      <c r="J5">
        <v>0</v>
      </c>
      <c r="K5">
        <v>1</v>
      </c>
      <c r="L5">
        <f t="shared" si="0"/>
        <v>46</v>
      </c>
      <c r="M5">
        <f t="shared" si="1"/>
        <v>45</v>
      </c>
      <c r="N5">
        <v>104</v>
      </c>
      <c r="O5">
        <v>3123946.9589041099</v>
      </c>
      <c r="P5">
        <f t="shared" si="2"/>
        <v>3123946.96</v>
      </c>
      <c r="Q5" s="16">
        <f t="shared" si="3"/>
        <v>12725900</v>
      </c>
      <c r="R5" s="28" t="s">
        <v>870</v>
      </c>
      <c r="S5" s="7">
        <f t="shared" si="4"/>
        <v>14</v>
      </c>
      <c r="T5" s="7">
        <v>20251231</v>
      </c>
    </row>
    <row r="6" spans="1:20" ht="27.6">
      <c r="A6" t="s">
        <v>742</v>
      </c>
      <c r="B6" s="11" t="s">
        <v>685</v>
      </c>
      <c r="C6" t="s">
        <v>600</v>
      </c>
      <c r="D6" t="s">
        <v>557</v>
      </c>
      <c r="E6" t="s">
        <v>1</v>
      </c>
      <c r="F6" t="s">
        <v>557</v>
      </c>
      <c r="G6" s="21">
        <v>60</v>
      </c>
      <c r="H6" t="s">
        <v>2</v>
      </c>
      <c r="I6" s="22">
        <v>12725900</v>
      </c>
      <c r="J6">
        <v>0</v>
      </c>
      <c r="K6">
        <v>1</v>
      </c>
      <c r="L6">
        <f t="shared" si="0"/>
        <v>46</v>
      </c>
      <c r="M6">
        <f t="shared" si="1"/>
        <v>45</v>
      </c>
      <c r="N6">
        <v>104</v>
      </c>
      <c r="O6">
        <v>3123946.9589041099</v>
      </c>
      <c r="P6">
        <f t="shared" si="2"/>
        <v>3123946.96</v>
      </c>
      <c r="Q6" s="16">
        <f t="shared" si="3"/>
        <v>12725900</v>
      </c>
      <c r="R6" s="28" t="s">
        <v>871</v>
      </c>
      <c r="S6" s="7">
        <f t="shared" si="4"/>
        <v>14</v>
      </c>
      <c r="T6" s="7">
        <v>20251231</v>
      </c>
    </row>
    <row r="7" spans="1:20" ht="27.6">
      <c r="A7" t="s">
        <v>743</v>
      </c>
      <c r="B7" s="18" t="s">
        <v>686</v>
      </c>
      <c r="C7" t="s">
        <v>600</v>
      </c>
      <c r="D7" t="s">
        <v>831</v>
      </c>
      <c r="E7" t="s">
        <v>1</v>
      </c>
      <c r="F7" t="s">
        <v>831</v>
      </c>
      <c r="G7" s="21">
        <v>60</v>
      </c>
      <c r="H7" t="s">
        <v>2</v>
      </c>
      <c r="I7" s="22">
        <v>23100000</v>
      </c>
      <c r="J7">
        <v>0</v>
      </c>
      <c r="K7">
        <v>1</v>
      </c>
      <c r="L7">
        <f t="shared" si="0"/>
        <v>46</v>
      </c>
      <c r="M7">
        <f t="shared" si="1"/>
        <v>45</v>
      </c>
      <c r="N7">
        <v>104</v>
      </c>
      <c r="O7">
        <v>5771835.6164383562</v>
      </c>
      <c r="P7">
        <f t="shared" si="2"/>
        <v>5771835.6200000001</v>
      </c>
      <c r="Q7" s="16">
        <f t="shared" si="3"/>
        <v>23100000</v>
      </c>
      <c r="R7" s="28" t="s">
        <v>872</v>
      </c>
      <c r="S7" s="7">
        <f t="shared" si="4"/>
        <v>14</v>
      </c>
      <c r="T7" s="7">
        <v>20251231</v>
      </c>
    </row>
    <row r="8" spans="1:20" ht="27.6">
      <c r="A8" t="s">
        <v>744</v>
      </c>
      <c r="B8" s="18" t="s">
        <v>687</v>
      </c>
      <c r="C8" t="s">
        <v>600</v>
      </c>
      <c r="D8" t="s">
        <v>831</v>
      </c>
      <c r="E8" t="s">
        <v>1</v>
      </c>
      <c r="F8" t="s">
        <v>831</v>
      </c>
      <c r="G8" s="21">
        <v>60</v>
      </c>
      <c r="H8" t="s">
        <v>2</v>
      </c>
      <c r="I8" s="22">
        <v>20790000</v>
      </c>
      <c r="J8">
        <v>0</v>
      </c>
      <c r="K8">
        <v>1</v>
      </c>
      <c r="L8">
        <f t="shared" si="0"/>
        <v>46</v>
      </c>
      <c r="M8">
        <f t="shared" si="1"/>
        <v>45</v>
      </c>
      <c r="N8">
        <v>104</v>
      </c>
      <c r="O8">
        <v>5194652.0547945201</v>
      </c>
      <c r="P8">
        <f t="shared" si="2"/>
        <v>5194652.05</v>
      </c>
      <c r="Q8" s="16">
        <f t="shared" si="3"/>
        <v>20790000</v>
      </c>
      <c r="R8" s="28" t="s">
        <v>873</v>
      </c>
      <c r="S8" s="7">
        <f t="shared" si="4"/>
        <v>14</v>
      </c>
      <c r="T8" s="7">
        <v>20251231</v>
      </c>
    </row>
    <row r="9" spans="1:20" ht="27.6">
      <c r="A9" t="s">
        <v>745</v>
      </c>
      <c r="B9" s="18" t="s">
        <v>685</v>
      </c>
      <c r="C9" t="s">
        <v>600</v>
      </c>
      <c r="D9" t="s">
        <v>558</v>
      </c>
      <c r="E9" t="s">
        <v>1</v>
      </c>
      <c r="F9" t="s">
        <v>558</v>
      </c>
      <c r="G9" s="21">
        <v>60</v>
      </c>
      <c r="H9" t="s">
        <v>2</v>
      </c>
      <c r="I9" s="22">
        <v>12243000</v>
      </c>
      <c r="J9">
        <v>0</v>
      </c>
      <c r="K9">
        <v>1</v>
      </c>
      <c r="L9">
        <f t="shared" si="0"/>
        <v>41</v>
      </c>
      <c r="M9">
        <f t="shared" si="1"/>
        <v>40</v>
      </c>
      <c r="N9">
        <v>104</v>
      </c>
      <c r="O9">
        <v>3890926.0273972605</v>
      </c>
      <c r="P9">
        <f t="shared" si="2"/>
        <v>3890926.03</v>
      </c>
      <c r="Q9" s="16">
        <f t="shared" si="3"/>
        <v>12243000</v>
      </c>
      <c r="R9" s="28" t="s">
        <v>874</v>
      </c>
      <c r="S9" s="7">
        <f t="shared" si="4"/>
        <v>19</v>
      </c>
      <c r="T9" s="7">
        <v>20251231</v>
      </c>
    </row>
    <row r="10" spans="1:20" ht="27.6">
      <c r="A10" t="s">
        <v>746</v>
      </c>
      <c r="B10" s="18" t="s">
        <v>688</v>
      </c>
      <c r="C10" t="s">
        <v>600</v>
      </c>
      <c r="D10" t="s">
        <v>558</v>
      </c>
      <c r="E10" t="s">
        <v>1</v>
      </c>
      <c r="F10" t="s">
        <v>558</v>
      </c>
      <c r="G10" s="21">
        <v>60</v>
      </c>
      <c r="H10" t="s">
        <v>2</v>
      </c>
      <c r="I10" s="22">
        <v>6583500</v>
      </c>
      <c r="J10">
        <v>0</v>
      </c>
      <c r="K10">
        <v>1</v>
      </c>
      <c r="L10">
        <f t="shared" si="0"/>
        <v>41</v>
      </c>
      <c r="M10">
        <f t="shared" si="1"/>
        <v>40</v>
      </c>
      <c r="N10">
        <v>104</v>
      </c>
      <c r="O10">
        <v>2092290.4109589041</v>
      </c>
      <c r="P10">
        <f t="shared" si="2"/>
        <v>2092290.41</v>
      </c>
      <c r="Q10" s="16">
        <f t="shared" si="3"/>
        <v>6583500</v>
      </c>
      <c r="R10" s="28" t="s">
        <v>875</v>
      </c>
      <c r="S10" s="7">
        <f t="shared" si="4"/>
        <v>19</v>
      </c>
      <c r="T10" s="7">
        <v>20251231</v>
      </c>
    </row>
    <row r="11" spans="1:20" ht="27.6">
      <c r="A11" t="s">
        <v>747</v>
      </c>
      <c r="B11" s="18" t="s">
        <v>689</v>
      </c>
      <c r="C11" t="s">
        <v>600</v>
      </c>
      <c r="D11" t="s">
        <v>832</v>
      </c>
      <c r="E11" t="s">
        <v>1</v>
      </c>
      <c r="F11" t="s">
        <v>832</v>
      </c>
      <c r="G11" s="21">
        <v>60</v>
      </c>
      <c r="H11" t="s">
        <v>2</v>
      </c>
      <c r="I11" s="22">
        <v>18133500</v>
      </c>
      <c r="J11">
        <v>0</v>
      </c>
      <c r="K11">
        <v>1</v>
      </c>
      <c r="L11">
        <f t="shared" si="0"/>
        <v>43</v>
      </c>
      <c r="M11">
        <f t="shared" si="1"/>
        <v>42</v>
      </c>
      <c r="N11">
        <v>104</v>
      </c>
      <c r="O11">
        <v>5216486.3013698636</v>
      </c>
      <c r="P11">
        <f t="shared" si="2"/>
        <v>5216486.3</v>
      </c>
      <c r="Q11" s="16">
        <f t="shared" si="3"/>
        <v>18133500</v>
      </c>
      <c r="R11" s="28" t="s">
        <v>876</v>
      </c>
      <c r="S11" s="7">
        <f t="shared" si="4"/>
        <v>17</v>
      </c>
      <c r="T11" s="7">
        <v>20251231</v>
      </c>
    </row>
    <row r="12" spans="1:20" ht="27.6">
      <c r="A12" t="s">
        <v>748</v>
      </c>
      <c r="B12" s="18" t="s">
        <v>690</v>
      </c>
      <c r="C12" t="s">
        <v>600</v>
      </c>
      <c r="D12" t="s">
        <v>833</v>
      </c>
      <c r="E12" t="s">
        <v>1</v>
      </c>
      <c r="F12" t="s">
        <v>833</v>
      </c>
      <c r="G12" s="21">
        <v>60</v>
      </c>
      <c r="H12" t="s">
        <v>2</v>
      </c>
      <c r="I12" s="22">
        <v>2696400</v>
      </c>
      <c r="J12">
        <v>0</v>
      </c>
      <c r="K12">
        <v>1</v>
      </c>
      <c r="L12">
        <f t="shared" si="0"/>
        <v>40</v>
      </c>
      <c r="M12">
        <f t="shared" si="1"/>
        <v>39</v>
      </c>
      <c r="N12">
        <v>104</v>
      </c>
      <c r="O12">
        <v>941154.41095890396</v>
      </c>
      <c r="P12">
        <f t="shared" si="2"/>
        <v>941154.41</v>
      </c>
      <c r="Q12" s="16">
        <f t="shared" si="3"/>
        <v>2696400</v>
      </c>
      <c r="R12" s="28" t="s">
        <v>877</v>
      </c>
      <c r="S12" s="7">
        <f t="shared" si="4"/>
        <v>20</v>
      </c>
      <c r="T12" s="7">
        <v>20251231</v>
      </c>
    </row>
    <row r="13" spans="1:20" ht="27.6">
      <c r="A13" t="s">
        <v>749</v>
      </c>
      <c r="B13" s="18" t="s">
        <v>690</v>
      </c>
      <c r="C13" t="s">
        <v>600</v>
      </c>
      <c r="D13" t="s">
        <v>833</v>
      </c>
      <c r="E13" t="s">
        <v>1</v>
      </c>
      <c r="F13" t="s">
        <v>833</v>
      </c>
      <c r="G13" s="21">
        <v>60</v>
      </c>
      <c r="H13" t="s">
        <v>2</v>
      </c>
      <c r="I13" s="22">
        <v>2696400</v>
      </c>
      <c r="J13">
        <v>0</v>
      </c>
      <c r="K13">
        <v>1</v>
      </c>
      <c r="L13">
        <f t="shared" si="0"/>
        <v>40</v>
      </c>
      <c r="M13">
        <f t="shared" si="1"/>
        <v>39</v>
      </c>
      <c r="N13">
        <v>104</v>
      </c>
      <c r="O13">
        <v>941154.41095890396</v>
      </c>
      <c r="P13">
        <f t="shared" si="2"/>
        <v>941154.41</v>
      </c>
      <c r="Q13" s="16">
        <f t="shared" si="3"/>
        <v>2696400</v>
      </c>
      <c r="R13" s="28" t="s">
        <v>878</v>
      </c>
      <c r="S13" s="7">
        <f t="shared" si="4"/>
        <v>20</v>
      </c>
      <c r="T13" s="7">
        <v>20251231</v>
      </c>
    </row>
    <row r="14" spans="1:20" ht="27.6">
      <c r="A14" t="s">
        <v>750</v>
      </c>
      <c r="B14" s="18" t="s">
        <v>685</v>
      </c>
      <c r="C14" t="s">
        <v>600</v>
      </c>
      <c r="D14" t="s">
        <v>833</v>
      </c>
      <c r="E14" t="s">
        <v>1</v>
      </c>
      <c r="F14" t="s">
        <v>833</v>
      </c>
      <c r="G14" s="21">
        <v>60</v>
      </c>
      <c r="H14" t="s">
        <v>2</v>
      </c>
      <c r="I14" s="22">
        <v>11877000</v>
      </c>
      <c r="J14">
        <v>0</v>
      </c>
      <c r="K14">
        <v>1</v>
      </c>
      <c r="L14">
        <f t="shared" si="0"/>
        <v>40</v>
      </c>
      <c r="M14">
        <f t="shared" si="1"/>
        <v>39</v>
      </c>
      <c r="N14">
        <v>104</v>
      </c>
      <c r="O14">
        <v>4145561.0958904107</v>
      </c>
      <c r="P14">
        <f t="shared" si="2"/>
        <v>4145561.1</v>
      </c>
      <c r="Q14" s="16">
        <f t="shared" si="3"/>
        <v>11877000</v>
      </c>
      <c r="R14" s="28" t="s">
        <v>879</v>
      </c>
      <c r="S14" s="7">
        <f t="shared" si="4"/>
        <v>20</v>
      </c>
      <c r="T14" s="7">
        <v>20251231</v>
      </c>
    </row>
    <row r="15" spans="1:20" ht="27.6">
      <c r="A15" t="s">
        <v>751</v>
      </c>
      <c r="B15" s="18" t="s">
        <v>691</v>
      </c>
      <c r="C15" t="s">
        <v>600</v>
      </c>
      <c r="D15" t="s">
        <v>834</v>
      </c>
      <c r="E15" t="s">
        <v>1</v>
      </c>
      <c r="F15" t="s">
        <v>834</v>
      </c>
      <c r="G15" s="21">
        <v>60</v>
      </c>
      <c r="H15" t="s">
        <v>2</v>
      </c>
      <c r="I15" s="22">
        <v>5499800</v>
      </c>
      <c r="J15">
        <v>0</v>
      </c>
      <c r="K15">
        <v>1</v>
      </c>
      <c r="L15">
        <f t="shared" si="0"/>
        <v>39</v>
      </c>
      <c r="M15">
        <f t="shared" si="1"/>
        <v>38</v>
      </c>
      <c r="N15">
        <v>104</v>
      </c>
      <c r="O15">
        <v>1982941.5890410959</v>
      </c>
      <c r="P15">
        <f t="shared" si="2"/>
        <v>1982941.59</v>
      </c>
      <c r="Q15" s="16">
        <f t="shared" si="3"/>
        <v>5499800</v>
      </c>
      <c r="R15" s="28" t="s">
        <v>880</v>
      </c>
      <c r="S15" s="7">
        <f t="shared" si="4"/>
        <v>21</v>
      </c>
      <c r="T15" s="7">
        <v>20251231</v>
      </c>
    </row>
    <row r="16" spans="1:20" ht="27.6">
      <c r="A16" t="s">
        <v>752</v>
      </c>
      <c r="B16" s="18" t="s">
        <v>692</v>
      </c>
      <c r="C16" t="s">
        <v>600</v>
      </c>
      <c r="D16" t="s">
        <v>834</v>
      </c>
      <c r="E16" t="s">
        <v>1</v>
      </c>
      <c r="F16" t="s">
        <v>834</v>
      </c>
      <c r="G16" s="21">
        <v>60</v>
      </c>
      <c r="H16" t="s">
        <v>2</v>
      </c>
      <c r="I16" s="22">
        <v>11898400</v>
      </c>
      <c r="J16">
        <v>0</v>
      </c>
      <c r="K16">
        <v>1</v>
      </c>
      <c r="L16">
        <f t="shared" si="0"/>
        <v>39</v>
      </c>
      <c r="M16">
        <f t="shared" si="1"/>
        <v>38</v>
      </c>
      <c r="N16">
        <v>104</v>
      </c>
      <c r="O16">
        <v>4289943.6712328764</v>
      </c>
      <c r="P16">
        <f t="shared" si="2"/>
        <v>4289943.67</v>
      </c>
      <c r="Q16" s="16">
        <f t="shared" si="3"/>
        <v>11898400</v>
      </c>
      <c r="R16" s="28" t="s">
        <v>881</v>
      </c>
      <c r="S16" s="7">
        <f t="shared" si="4"/>
        <v>21</v>
      </c>
      <c r="T16" s="7">
        <v>20251231</v>
      </c>
    </row>
    <row r="17" spans="1:20" ht="27.6">
      <c r="A17" t="s">
        <v>753</v>
      </c>
      <c r="B17" s="18" t="s">
        <v>693</v>
      </c>
      <c r="C17" t="s">
        <v>600</v>
      </c>
      <c r="D17" t="s">
        <v>559</v>
      </c>
      <c r="E17" t="s">
        <v>1</v>
      </c>
      <c r="F17" t="s">
        <v>559</v>
      </c>
      <c r="G17" s="21">
        <v>60</v>
      </c>
      <c r="H17" t="s">
        <v>2</v>
      </c>
      <c r="I17" s="22">
        <v>2399000</v>
      </c>
      <c r="J17">
        <v>0</v>
      </c>
      <c r="K17">
        <v>1</v>
      </c>
      <c r="L17">
        <f t="shared" si="0"/>
        <v>37</v>
      </c>
      <c r="M17">
        <f t="shared" si="1"/>
        <v>36</v>
      </c>
      <c r="N17">
        <v>104</v>
      </c>
      <c r="O17">
        <v>931995.06849315076</v>
      </c>
      <c r="P17">
        <f t="shared" si="2"/>
        <v>931995.07</v>
      </c>
      <c r="Q17" s="16">
        <f t="shared" si="3"/>
        <v>2399000</v>
      </c>
      <c r="R17" s="28" t="s">
        <v>882</v>
      </c>
      <c r="S17" s="7">
        <f t="shared" si="4"/>
        <v>23</v>
      </c>
      <c r="T17" s="7">
        <v>20251231</v>
      </c>
    </row>
    <row r="18" spans="1:20" ht="27.6">
      <c r="A18" t="s">
        <v>754</v>
      </c>
      <c r="B18" s="18" t="s">
        <v>694</v>
      </c>
      <c r="C18" t="s">
        <v>600</v>
      </c>
      <c r="D18" t="s">
        <v>559</v>
      </c>
      <c r="E18" t="s">
        <v>1</v>
      </c>
      <c r="F18" t="s">
        <v>559</v>
      </c>
      <c r="G18" s="21">
        <v>60</v>
      </c>
      <c r="H18" t="s">
        <v>2</v>
      </c>
      <c r="I18" s="22">
        <v>2399000</v>
      </c>
      <c r="J18">
        <v>0</v>
      </c>
      <c r="K18">
        <v>1</v>
      </c>
      <c r="L18">
        <f t="shared" si="0"/>
        <v>37</v>
      </c>
      <c r="M18">
        <f t="shared" si="1"/>
        <v>36</v>
      </c>
      <c r="N18">
        <v>104</v>
      </c>
      <c r="O18">
        <v>931995.06849315076</v>
      </c>
      <c r="P18">
        <f t="shared" si="2"/>
        <v>931995.07</v>
      </c>
      <c r="Q18" s="16">
        <f t="shared" si="3"/>
        <v>2399000</v>
      </c>
      <c r="R18" s="28" t="s">
        <v>883</v>
      </c>
      <c r="S18" s="7">
        <f t="shared" si="4"/>
        <v>23</v>
      </c>
      <c r="T18" s="7">
        <v>20251231</v>
      </c>
    </row>
    <row r="19" spans="1:20" ht="27.6">
      <c r="A19" t="s">
        <v>755</v>
      </c>
      <c r="B19" s="18" t="s">
        <v>695</v>
      </c>
      <c r="C19" t="s">
        <v>600</v>
      </c>
      <c r="D19" t="s">
        <v>835</v>
      </c>
      <c r="E19" t="s">
        <v>1</v>
      </c>
      <c r="F19" t="s">
        <v>835</v>
      </c>
      <c r="G19" s="21">
        <v>60</v>
      </c>
      <c r="H19" t="s">
        <v>2</v>
      </c>
      <c r="I19" s="22">
        <v>4565000</v>
      </c>
      <c r="J19">
        <v>0</v>
      </c>
      <c r="K19">
        <v>1</v>
      </c>
      <c r="L19">
        <f t="shared" si="0"/>
        <v>41</v>
      </c>
      <c r="M19">
        <f t="shared" si="1"/>
        <v>40</v>
      </c>
      <c r="N19">
        <v>104</v>
      </c>
      <c r="O19">
        <v>1508326.0273972603</v>
      </c>
      <c r="P19">
        <f t="shared" si="2"/>
        <v>1508326.03</v>
      </c>
      <c r="Q19" s="16">
        <f t="shared" si="3"/>
        <v>4565000</v>
      </c>
      <c r="R19" s="28" t="s">
        <v>884</v>
      </c>
      <c r="S19" s="7">
        <f t="shared" si="4"/>
        <v>19</v>
      </c>
      <c r="T19" s="7">
        <v>20251231</v>
      </c>
    </row>
    <row r="20" spans="1:20" ht="27.6">
      <c r="A20" t="s">
        <v>756</v>
      </c>
      <c r="B20" s="18" t="s">
        <v>696</v>
      </c>
      <c r="C20" t="s">
        <v>600</v>
      </c>
      <c r="D20" t="s">
        <v>836</v>
      </c>
      <c r="E20" t="s">
        <v>1</v>
      </c>
      <c r="F20" t="s">
        <v>836</v>
      </c>
      <c r="G20" s="21">
        <v>60</v>
      </c>
      <c r="H20" t="s">
        <v>2</v>
      </c>
      <c r="I20" s="22">
        <v>12870000</v>
      </c>
      <c r="J20">
        <v>0</v>
      </c>
      <c r="K20">
        <v>1</v>
      </c>
      <c r="L20">
        <f t="shared" si="0"/>
        <v>46</v>
      </c>
      <c r="M20">
        <f t="shared" si="1"/>
        <v>45</v>
      </c>
      <c r="N20">
        <v>104</v>
      </c>
      <c r="O20">
        <v>3046487.6712328773</v>
      </c>
      <c r="P20">
        <f t="shared" si="2"/>
        <v>3046487.67</v>
      </c>
      <c r="Q20" s="16">
        <f t="shared" si="3"/>
        <v>12870000</v>
      </c>
      <c r="R20" s="28" t="s">
        <v>885</v>
      </c>
      <c r="S20" s="7">
        <f t="shared" si="4"/>
        <v>14</v>
      </c>
      <c r="T20" s="7">
        <v>20251231</v>
      </c>
    </row>
    <row r="21" spans="1:20" ht="27.6">
      <c r="A21" t="s">
        <v>757</v>
      </c>
      <c r="B21" s="18" t="s">
        <v>697</v>
      </c>
      <c r="C21" t="s">
        <v>600</v>
      </c>
      <c r="D21" t="s">
        <v>836</v>
      </c>
      <c r="E21" t="s">
        <v>1</v>
      </c>
      <c r="F21" t="s">
        <v>836</v>
      </c>
      <c r="G21" s="21">
        <v>60</v>
      </c>
      <c r="H21" t="s">
        <v>2</v>
      </c>
      <c r="I21" s="22">
        <v>1868900</v>
      </c>
      <c r="J21">
        <v>0</v>
      </c>
      <c r="K21">
        <v>1</v>
      </c>
      <c r="L21">
        <f t="shared" si="0"/>
        <v>46</v>
      </c>
      <c r="M21">
        <f t="shared" si="1"/>
        <v>45</v>
      </c>
      <c r="N21">
        <v>104</v>
      </c>
      <c r="O21">
        <v>442391.67123287666</v>
      </c>
      <c r="P21">
        <f t="shared" si="2"/>
        <v>442391.67</v>
      </c>
      <c r="Q21" s="16">
        <f t="shared" si="3"/>
        <v>1868900</v>
      </c>
      <c r="R21" s="28" t="s">
        <v>886</v>
      </c>
      <c r="S21" s="7">
        <f t="shared" si="4"/>
        <v>14</v>
      </c>
      <c r="T21" s="7">
        <v>20251231</v>
      </c>
    </row>
    <row r="22" spans="1:20" ht="27.6">
      <c r="A22" t="s">
        <v>758</v>
      </c>
      <c r="B22" s="18" t="s">
        <v>698</v>
      </c>
      <c r="C22" t="s">
        <v>600</v>
      </c>
      <c r="D22" t="s">
        <v>562</v>
      </c>
      <c r="E22" t="s">
        <v>1</v>
      </c>
      <c r="F22" t="s">
        <v>562</v>
      </c>
      <c r="G22" s="21">
        <v>60</v>
      </c>
      <c r="H22" t="s">
        <v>2</v>
      </c>
      <c r="I22" s="22">
        <v>13816000</v>
      </c>
      <c r="J22">
        <v>0</v>
      </c>
      <c r="K22">
        <v>1</v>
      </c>
      <c r="L22">
        <f t="shared" si="0"/>
        <v>47</v>
      </c>
      <c r="M22">
        <f t="shared" si="1"/>
        <v>46</v>
      </c>
      <c r="N22">
        <v>104</v>
      </c>
      <c r="O22">
        <v>3194713.4246575339</v>
      </c>
      <c r="P22">
        <f t="shared" si="2"/>
        <v>3194713.42</v>
      </c>
      <c r="Q22" s="16">
        <f t="shared" si="3"/>
        <v>13816000</v>
      </c>
      <c r="R22" s="28" t="s">
        <v>887</v>
      </c>
      <c r="S22" s="7">
        <f t="shared" si="4"/>
        <v>13</v>
      </c>
      <c r="T22" s="7">
        <v>20251231</v>
      </c>
    </row>
    <row r="23" spans="1:20" ht="27.6">
      <c r="A23" t="s">
        <v>759</v>
      </c>
      <c r="B23" s="18" t="s">
        <v>699</v>
      </c>
      <c r="C23" t="s">
        <v>600</v>
      </c>
      <c r="D23" t="s">
        <v>562</v>
      </c>
      <c r="E23" t="s">
        <v>1</v>
      </c>
      <c r="F23" t="s">
        <v>562</v>
      </c>
      <c r="G23" s="21">
        <v>60</v>
      </c>
      <c r="H23" t="s">
        <v>2</v>
      </c>
      <c r="I23" s="22">
        <v>12870000</v>
      </c>
      <c r="J23">
        <v>0</v>
      </c>
      <c r="K23">
        <v>1</v>
      </c>
      <c r="L23">
        <f t="shared" si="0"/>
        <v>47</v>
      </c>
      <c r="M23">
        <f t="shared" si="1"/>
        <v>46</v>
      </c>
      <c r="N23">
        <v>104</v>
      </c>
      <c r="O23">
        <v>2975967.1232876717</v>
      </c>
      <c r="P23">
        <f t="shared" si="2"/>
        <v>2975967.12</v>
      </c>
      <c r="Q23" s="16">
        <f t="shared" si="3"/>
        <v>12870000</v>
      </c>
      <c r="R23" s="28" t="s">
        <v>888</v>
      </c>
      <c r="S23" s="7">
        <f t="shared" si="4"/>
        <v>13</v>
      </c>
      <c r="T23" s="7">
        <v>20251231</v>
      </c>
    </row>
    <row r="24" spans="1:20" ht="27.6">
      <c r="A24" t="s">
        <v>760</v>
      </c>
      <c r="B24" s="18" t="s">
        <v>700</v>
      </c>
      <c r="C24" t="s">
        <v>600</v>
      </c>
      <c r="D24" t="s">
        <v>837</v>
      </c>
      <c r="E24" t="s">
        <v>1</v>
      </c>
      <c r="F24" t="s">
        <v>837</v>
      </c>
      <c r="G24" s="21">
        <v>60</v>
      </c>
      <c r="H24" t="s">
        <v>2</v>
      </c>
      <c r="I24" s="22">
        <v>2040500</v>
      </c>
      <c r="J24">
        <v>0</v>
      </c>
      <c r="K24">
        <v>1</v>
      </c>
      <c r="L24">
        <f t="shared" si="0"/>
        <v>47</v>
      </c>
      <c r="M24">
        <f t="shared" si="1"/>
        <v>46</v>
      </c>
      <c r="N24">
        <v>104</v>
      </c>
      <c r="O24">
        <v>462886.02739726036</v>
      </c>
      <c r="P24">
        <f t="shared" si="2"/>
        <v>462886.03</v>
      </c>
      <c r="Q24" s="16">
        <f t="shared" si="3"/>
        <v>2040500</v>
      </c>
      <c r="R24" s="28" t="s">
        <v>889</v>
      </c>
      <c r="S24" s="7">
        <f t="shared" si="4"/>
        <v>13</v>
      </c>
      <c r="T24" s="7">
        <v>20251231</v>
      </c>
    </row>
    <row r="25" spans="1:20" ht="27.6">
      <c r="A25" t="s">
        <v>761</v>
      </c>
      <c r="B25" s="18" t="s">
        <v>701</v>
      </c>
      <c r="C25" t="s">
        <v>600</v>
      </c>
      <c r="D25" t="s">
        <v>838</v>
      </c>
      <c r="E25" t="s">
        <v>1</v>
      </c>
      <c r="F25" t="s">
        <v>838</v>
      </c>
      <c r="G25" s="21">
        <v>60</v>
      </c>
      <c r="H25" t="s">
        <v>2</v>
      </c>
      <c r="I25" s="22">
        <v>9625000</v>
      </c>
      <c r="J25">
        <v>0</v>
      </c>
      <c r="K25">
        <v>1</v>
      </c>
      <c r="L25">
        <f t="shared" si="0"/>
        <v>47</v>
      </c>
      <c r="M25">
        <f t="shared" si="1"/>
        <v>46</v>
      </c>
      <c r="N25">
        <v>104</v>
      </c>
      <c r="O25">
        <v>2151780.8219178081</v>
      </c>
      <c r="P25">
        <f t="shared" si="2"/>
        <v>2151780.8199999998</v>
      </c>
      <c r="Q25" s="16">
        <f t="shared" si="3"/>
        <v>9625000</v>
      </c>
      <c r="R25" s="28" t="s">
        <v>890</v>
      </c>
      <c r="S25" s="7">
        <f t="shared" si="4"/>
        <v>13</v>
      </c>
      <c r="T25" s="7">
        <v>20251231</v>
      </c>
    </row>
    <row r="26" spans="1:20" ht="27.6">
      <c r="A26" t="s">
        <v>762</v>
      </c>
      <c r="B26" s="18" t="s">
        <v>685</v>
      </c>
      <c r="C26" t="s">
        <v>600</v>
      </c>
      <c r="D26" t="s">
        <v>838</v>
      </c>
      <c r="E26" t="s">
        <v>1</v>
      </c>
      <c r="F26" t="s">
        <v>838</v>
      </c>
      <c r="G26" s="21">
        <v>60</v>
      </c>
      <c r="H26" t="s">
        <v>2</v>
      </c>
      <c r="I26" s="22">
        <v>12540000</v>
      </c>
      <c r="J26">
        <v>0</v>
      </c>
      <c r="K26">
        <v>1</v>
      </c>
      <c r="L26">
        <f t="shared" si="0"/>
        <v>47</v>
      </c>
      <c r="M26">
        <f t="shared" si="1"/>
        <v>46</v>
      </c>
      <c r="N26">
        <v>104</v>
      </c>
      <c r="O26">
        <v>2803463.01369863</v>
      </c>
      <c r="P26">
        <f t="shared" si="2"/>
        <v>2803463.01</v>
      </c>
      <c r="Q26" s="16">
        <f t="shared" si="3"/>
        <v>12540000</v>
      </c>
      <c r="R26" s="28" t="s">
        <v>891</v>
      </c>
      <c r="S26" s="7">
        <f t="shared" si="4"/>
        <v>13</v>
      </c>
      <c r="T26" s="7">
        <v>20251231</v>
      </c>
    </row>
    <row r="27" spans="1:20" ht="27.6">
      <c r="A27" t="s">
        <v>763</v>
      </c>
      <c r="B27" s="18" t="s">
        <v>685</v>
      </c>
      <c r="C27" t="s">
        <v>600</v>
      </c>
      <c r="D27" t="s">
        <v>838</v>
      </c>
      <c r="E27" t="s">
        <v>1</v>
      </c>
      <c r="F27" t="s">
        <v>838</v>
      </c>
      <c r="G27" s="21">
        <v>60</v>
      </c>
      <c r="H27" t="s">
        <v>2</v>
      </c>
      <c r="I27" s="22">
        <v>12540000</v>
      </c>
      <c r="J27">
        <v>0</v>
      </c>
      <c r="K27">
        <v>1</v>
      </c>
      <c r="L27">
        <f t="shared" si="0"/>
        <v>47</v>
      </c>
      <c r="M27">
        <f t="shared" si="1"/>
        <v>46</v>
      </c>
      <c r="N27">
        <v>104</v>
      </c>
      <c r="O27">
        <v>2803463.01369863</v>
      </c>
      <c r="P27">
        <f t="shared" si="2"/>
        <v>2803463.01</v>
      </c>
      <c r="Q27" s="16">
        <f t="shared" si="3"/>
        <v>12540000</v>
      </c>
      <c r="R27" s="28" t="s">
        <v>892</v>
      </c>
      <c r="S27" s="7">
        <f t="shared" si="4"/>
        <v>13</v>
      </c>
      <c r="T27" s="7">
        <v>20251231</v>
      </c>
    </row>
    <row r="28" spans="1:20" ht="27.6">
      <c r="A28" t="s">
        <v>764</v>
      </c>
      <c r="B28" s="18" t="s">
        <v>698</v>
      </c>
      <c r="C28" t="s">
        <v>600</v>
      </c>
      <c r="D28" t="s">
        <v>839</v>
      </c>
      <c r="E28" t="s">
        <v>1</v>
      </c>
      <c r="F28" t="s">
        <v>839</v>
      </c>
      <c r="G28" s="21">
        <v>60</v>
      </c>
      <c r="H28" t="s">
        <v>2</v>
      </c>
      <c r="I28" s="22">
        <v>12320000</v>
      </c>
      <c r="J28">
        <v>0</v>
      </c>
      <c r="K28">
        <v>1</v>
      </c>
      <c r="L28">
        <f t="shared" si="0"/>
        <v>48</v>
      </c>
      <c r="M28">
        <f t="shared" si="1"/>
        <v>47</v>
      </c>
      <c r="N28">
        <v>104</v>
      </c>
      <c r="O28">
        <v>2646268.493150685</v>
      </c>
      <c r="P28">
        <f t="shared" si="2"/>
        <v>2646268.4900000002</v>
      </c>
      <c r="Q28" s="16">
        <f t="shared" si="3"/>
        <v>12320000</v>
      </c>
      <c r="R28" s="28" t="s">
        <v>893</v>
      </c>
      <c r="S28" s="7">
        <f t="shared" si="4"/>
        <v>12</v>
      </c>
      <c r="T28" s="7">
        <v>20251231</v>
      </c>
    </row>
    <row r="29" spans="1:20" ht="27.6">
      <c r="A29" t="s">
        <v>765</v>
      </c>
      <c r="B29" s="34" t="s">
        <v>702</v>
      </c>
      <c r="C29" t="s">
        <v>600</v>
      </c>
      <c r="D29" t="s">
        <v>840</v>
      </c>
      <c r="E29" t="s">
        <v>1</v>
      </c>
      <c r="F29" t="s">
        <v>840</v>
      </c>
      <c r="G29" s="21">
        <v>60</v>
      </c>
      <c r="H29" t="s">
        <v>2</v>
      </c>
      <c r="I29" s="38">
        <v>10246500</v>
      </c>
      <c r="J29">
        <v>0</v>
      </c>
      <c r="K29">
        <v>1</v>
      </c>
      <c r="L29">
        <f t="shared" si="0"/>
        <v>49</v>
      </c>
      <c r="M29">
        <f t="shared" si="1"/>
        <v>48</v>
      </c>
      <c r="N29">
        <v>104</v>
      </c>
      <c r="O29">
        <v>1998769.3150684931</v>
      </c>
      <c r="P29">
        <f t="shared" si="2"/>
        <v>1998769.32</v>
      </c>
      <c r="Q29" s="16">
        <f t="shared" si="3"/>
        <v>10246500</v>
      </c>
      <c r="R29" s="29" t="s">
        <v>894</v>
      </c>
      <c r="S29" s="7">
        <f t="shared" si="4"/>
        <v>11</v>
      </c>
      <c r="T29" s="7">
        <v>20251231</v>
      </c>
    </row>
    <row r="30" spans="1:20" ht="27.6">
      <c r="A30" t="s">
        <v>766</v>
      </c>
      <c r="B30" s="34" t="s">
        <v>702</v>
      </c>
      <c r="C30" t="s">
        <v>600</v>
      </c>
      <c r="D30" t="s">
        <v>840</v>
      </c>
      <c r="E30" t="s">
        <v>1</v>
      </c>
      <c r="F30" t="s">
        <v>840</v>
      </c>
      <c r="G30" s="21">
        <v>60</v>
      </c>
      <c r="H30" t="s">
        <v>2</v>
      </c>
      <c r="I30" s="38">
        <v>10246500</v>
      </c>
      <c r="J30">
        <v>0</v>
      </c>
      <c r="K30">
        <v>1</v>
      </c>
      <c r="L30">
        <f t="shared" si="0"/>
        <v>49</v>
      </c>
      <c r="M30">
        <f t="shared" si="1"/>
        <v>48</v>
      </c>
      <c r="N30">
        <v>104</v>
      </c>
      <c r="O30">
        <v>1998769.3150684931</v>
      </c>
      <c r="P30">
        <f t="shared" si="2"/>
        <v>1998769.32</v>
      </c>
      <c r="Q30" s="16">
        <f t="shared" si="3"/>
        <v>10246500</v>
      </c>
      <c r="R30" s="29" t="s">
        <v>895</v>
      </c>
      <c r="S30" s="7">
        <f t="shared" si="4"/>
        <v>11</v>
      </c>
      <c r="T30" s="7">
        <v>20251231</v>
      </c>
    </row>
    <row r="31" spans="1:20" ht="27.6">
      <c r="A31" t="s">
        <v>767</v>
      </c>
      <c r="B31" s="34" t="s">
        <v>703</v>
      </c>
      <c r="C31" t="s">
        <v>600</v>
      </c>
      <c r="D31" t="s">
        <v>840</v>
      </c>
      <c r="E31" t="s">
        <v>1</v>
      </c>
      <c r="F31" t="s">
        <v>840</v>
      </c>
      <c r="G31" s="21">
        <v>60</v>
      </c>
      <c r="H31" t="s">
        <v>2</v>
      </c>
      <c r="I31" s="38">
        <v>9652500</v>
      </c>
      <c r="J31">
        <v>0</v>
      </c>
      <c r="K31">
        <v>1</v>
      </c>
      <c r="L31">
        <f t="shared" si="0"/>
        <v>49</v>
      </c>
      <c r="M31">
        <f t="shared" si="1"/>
        <v>48</v>
      </c>
      <c r="N31">
        <v>104</v>
      </c>
      <c r="O31">
        <v>1882898.6301369865</v>
      </c>
      <c r="P31">
        <f t="shared" si="2"/>
        <v>1882898.63</v>
      </c>
      <c r="Q31" s="16">
        <f t="shared" si="3"/>
        <v>9652500</v>
      </c>
      <c r="R31" s="29" t="s">
        <v>896</v>
      </c>
      <c r="S31" s="7">
        <f t="shared" si="4"/>
        <v>11</v>
      </c>
      <c r="T31" s="7">
        <v>20251231</v>
      </c>
    </row>
    <row r="32" spans="1:20" ht="27.6">
      <c r="A32" t="s">
        <v>768</v>
      </c>
      <c r="B32" s="34" t="s">
        <v>704</v>
      </c>
      <c r="C32" t="s">
        <v>600</v>
      </c>
      <c r="D32" t="s">
        <v>840</v>
      </c>
      <c r="E32" t="s">
        <v>1</v>
      </c>
      <c r="F32" t="s">
        <v>840</v>
      </c>
      <c r="G32" s="21">
        <v>60</v>
      </c>
      <c r="H32" t="s">
        <v>2</v>
      </c>
      <c r="I32" s="38">
        <v>10246500</v>
      </c>
      <c r="J32">
        <v>0</v>
      </c>
      <c r="K32">
        <v>1</v>
      </c>
      <c r="L32">
        <f t="shared" si="0"/>
        <v>49</v>
      </c>
      <c r="M32">
        <f t="shared" si="1"/>
        <v>48</v>
      </c>
      <c r="N32">
        <v>104</v>
      </c>
      <c r="O32">
        <v>1998769.3150684931</v>
      </c>
      <c r="P32">
        <f t="shared" si="2"/>
        <v>1998769.32</v>
      </c>
      <c r="Q32" s="16">
        <f t="shared" si="3"/>
        <v>10246500</v>
      </c>
      <c r="R32" s="29" t="s">
        <v>897</v>
      </c>
      <c r="S32" s="7">
        <f t="shared" si="4"/>
        <v>11</v>
      </c>
      <c r="T32" s="7">
        <v>20251231</v>
      </c>
    </row>
    <row r="33" spans="1:20" ht="27.6">
      <c r="A33" t="s">
        <v>769</v>
      </c>
      <c r="B33" s="34" t="s">
        <v>705</v>
      </c>
      <c r="C33" t="s">
        <v>600</v>
      </c>
      <c r="D33" t="s">
        <v>840</v>
      </c>
      <c r="E33" t="s">
        <v>1</v>
      </c>
      <c r="F33" t="s">
        <v>840</v>
      </c>
      <c r="G33" s="21">
        <v>60</v>
      </c>
      <c r="H33" t="s">
        <v>2</v>
      </c>
      <c r="I33" s="38">
        <v>9020000</v>
      </c>
      <c r="J33">
        <v>0</v>
      </c>
      <c r="K33">
        <v>1</v>
      </c>
      <c r="L33">
        <f t="shared" si="0"/>
        <v>49</v>
      </c>
      <c r="M33">
        <f t="shared" si="1"/>
        <v>48</v>
      </c>
      <c r="N33">
        <v>104</v>
      </c>
      <c r="O33">
        <v>1759517.8082191779</v>
      </c>
      <c r="P33">
        <f t="shared" si="2"/>
        <v>1759517.81</v>
      </c>
      <c r="Q33" s="16">
        <f t="shared" si="3"/>
        <v>9020000</v>
      </c>
      <c r="R33" s="29" t="s">
        <v>898</v>
      </c>
      <c r="S33" s="7">
        <f t="shared" si="4"/>
        <v>11</v>
      </c>
      <c r="T33" s="7">
        <v>20251231</v>
      </c>
    </row>
    <row r="34" spans="1:20" ht="27.6">
      <c r="A34" t="s">
        <v>770</v>
      </c>
      <c r="B34" s="34" t="s">
        <v>705</v>
      </c>
      <c r="C34" t="s">
        <v>600</v>
      </c>
      <c r="D34" t="s">
        <v>840</v>
      </c>
      <c r="E34" t="s">
        <v>1</v>
      </c>
      <c r="F34" t="s">
        <v>840</v>
      </c>
      <c r="G34" s="21">
        <v>60</v>
      </c>
      <c r="H34" t="s">
        <v>2</v>
      </c>
      <c r="I34" s="38">
        <v>9020000</v>
      </c>
      <c r="J34">
        <v>0</v>
      </c>
      <c r="K34">
        <v>1</v>
      </c>
      <c r="L34">
        <f t="shared" si="0"/>
        <v>49</v>
      </c>
      <c r="M34">
        <f t="shared" si="1"/>
        <v>48</v>
      </c>
      <c r="N34">
        <v>104</v>
      </c>
      <c r="O34">
        <v>1759517.8082191779</v>
      </c>
      <c r="P34">
        <f t="shared" si="2"/>
        <v>1759517.81</v>
      </c>
      <c r="Q34" s="16">
        <f t="shared" si="3"/>
        <v>9020000</v>
      </c>
      <c r="R34" s="29" t="s">
        <v>899</v>
      </c>
      <c r="S34" s="7">
        <f t="shared" si="4"/>
        <v>11</v>
      </c>
      <c r="T34" s="7">
        <v>20251231</v>
      </c>
    </row>
    <row r="35" spans="1:20" ht="27.6">
      <c r="A35" t="s">
        <v>771</v>
      </c>
      <c r="B35" s="18" t="s">
        <v>706</v>
      </c>
      <c r="C35" t="s">
        <v>600</v>
      </c>
      <c r="D35" t="s">
        <v>841</v>
      </c>
      <c r="E35" t="s">
        <v>1</v>
      </c>
      <c r="F35" t="s">
        <v>841</v>
      </c>
      <c r="G35" s="21">
        <v>60</v>
      </c>
      <c r="H35" t="s">
        <v>2</v>
      </c>
      <c r="I35" s="26">
        <v>5399000</v>
      </c>
      <c r="J35">
        <v>0</v>
      </c>
      <c r="K35">
        <v>1</v>
      </c>
      <c r="L35">
        <f t="shared" si="0"/>
        <v>-9</v>
      </c>
      <c r="M35">
        <v>0</v>
      </c>
      <c r="N35">
        <v>104</v>
      </c>
      <c r="O35" s="16">
        <f>I35</f>
        <v>5399000</v>
      </c>
      <c r="P35">
        <f t="shared" si="2"/>
        <v>5399000</v>
      </c>
      <c r="Q35" s="16">
        <f t="shared" si="3"/>
        <v>5399000</v>
      </c>
      <c r="R35" s="29" t="s">
        <v>900</v>
      </c>
      <c r="S35" s="7">
        <f t="shared" si="4"/>
        <v>69</v>
      </c>
      <c r="T35" s="7">
        <v>20251231</v>
      </c>
    </row>
    <row r="36" spans="1:20" ht="27.6">
      <c r="A36" t="s">
        <v>772</v>
      </c>
      <c r="B36" s="18" t="s">
        <v>707</v>
      </c>
      <c r="C36" t="s">
        <v>600</v>
      </c>
      <c r="D36" t="s">
        <v>842</v>
      </c>
      <c r="E36" t="s">
        <v>1</v>
      </c>
      <c r="F36" t="s">
        <v>842</v>
      </c>
      <c r="G36" s="21">
        <v>60</v>
      </c>
      <c r="H36" t="s">
        <v>2</v>
      </c>
      <c r="I36" s="26">
        <v>4599000</v>
      </c>
      <c r="J36">
        <v>0</v>
      </c>
      <c r="K36">
        <v>1</v>
      </c>
      <c r="L36">
        <f t="shared" si="0"/>
        <v>-8</v>
      </c>
      <c r="M36">
        <v>0</v>
      </c>
      <c r="N36">
        <v>104</v>
      </c>
      <c r="O36" s="16">
        <f t="shared" ref="O36:O70" si="5">I36</f>
        <v>4599000</v>
      </c>
      <c r="P36">
        <f t="shared" si="2"/>
        <v>4599000</v>
      </c>
      <c r="Q36" s="16">
        <f t="shared" si="3"/>
        <v>4599000</v>
      </c>
      <c r="R36" s="29" t="s">
        <v>901</v>
      </c>
      <c r="S36" s="7">
        <f t="shared" si="4"/>
        <v>68</v>
      </c>
      <c r="T36" s="7">
        <v>20251231</v>
      </c>
    </row>
    <row r="37" spans="1:20" ht="27.6">
      <c r="A37" t="s">
        <v>773</v>
      </c>
      <c r="B37" s="18" t="s">
        <v>708</v>
      </c>
      <c r="C37" t="s">
        <v>600</v>
      </c>
      <c r="D37" t="s">
        <v>842</v>
      </c>
      <c r="E37" t="s">
        <v>1</v>
      </c>
      <c r="F37" t="s">
        <v>842</v>
      </c>
      <c r="G37" s="21">
        <v>60</v>
      </c>
      <c r="H37" t="s">
        <v>2</v>
      </c>
      <c r="I37" s="26">
        <v>1500000</v>
      </c>
      <c r="J37">
        <v>0</v>
      </c>
      <c r="K37">
        <v>1</v>
      </c>
      <c r="L37">
        <f t="shared" si="0"/>
        <v>-8</v>
      </c>
      <c r="M37">
        <v>0</v>
      </c>
      <c r="N37">
        <v>104</v>
      </c>
      <c r="O37" s="16">
        <f t="shared" si="5"/>
        <v>1500000</v>
      </c>
      <c r="P37">
        <f t="shared" si="2"/>
        <v>1500000</v>
      </c>
      <c r="Q37" s="16">
        <f t="shared" si="3"/>
        <v>1500000</v>
      </c>
      <c r="R37" s="29" t="s">
        <v>902</v>
      </c>
      <c r="S37" s="7">
        <f t="shared" si="4"/>
        <v>68</v>
      </c>
      <c r="T37" s="7">
        <v>20251231</v>
      </c>
    </row>
    <row r="38" spans="1:20" ht="27.6">
      <c r="A38" t="s">
        <v>774</v>
      </c>
      <c r="B38" s="18" t="s">
        <v>709</v>
      </c>
      <c r="C38" t="s">
        <v>600</v>
      </c>
      <c r="D38" t="s">
        <v>843</v>
      </c>
      <c r="E38" t="s">
        <v>1</v>
      </c>
      <c r="F38" t="s">
        <v>843</v>
      </c>
      <c r="G38" s="21">
        <v>60</v>
      </c>
      <c r="H38" t="s">
        <v>2</v>
      </c>
      <c r="I38" s="26">
        <v>4448000</v>
      </c>
      <c r="J38">
        <v>0</v>
      </c>
      <c r="K38">
        <v>1</v>
      </c>
      <c r="L38">
        <f t="shared" si="0"/>
        <v>-1</v>
      </c>
      <c r="M38">
        <v>0</v>
      </c>
      <c r="N38">
        <v>104</v>
      </c>
      <c r="O38" s="16">
        <f t="shared" si="5"/>
        <v>4448000</v>
      </c>
      <c r="P38">
        <f t="shared" si="2"/>
        <v>4448000</v>
      </c>
      <c r="Q38" s="16">
        <f t="shared" si="3"/>
        <v>4448000</v>
      </c>
      <c r="R38" s="29" t="s">
        <v>903</v>
      </c>
      <c r="S38" s="7">
        <f t="shared" si="4"/>
        <v>61</v>
      </c>
      <c r="T38" s="7">
        <v>20251231</v>
      </c>
    </row>
    <row r="39" spans="1:20" ht="27.6">
      <c r="A39" t="s">
        <v>775</v>
      </c>
      <c r="B39" s="18" t="s">
        <v>710</v>
      </c>
      <c r="C39" t="s">
        <v>600</v>
      </c>
      <c r="D39" t="s">
        <v>844</v>
      </c>
      <c r="E39" t="s">
        <v>1</v>
      </c>
      <c r="F39" t="s">
        <v>844</v>
      </c>
      <c r="G39" s="21">
        <v>60</v>
      </c>
      <c r="H39" t="s">
        <v>2</v>
      </c>
      <c r="I39" s="26">
        <v>4298000</v>
      </c>
      <c r="J39">
        <v>0</v>
      </c>
      <c r="K39">
        <v>1</v>
      </c>
      <c r="L39">
        <f t="shared" si="0"/>
        <v>-5</v>
      </c>
      <c r="M39">
        <v>0</v>
      </c>
      <c r="N39">
        <v>104</v>
      </c>
      <c r="O39" s="16">
        <f t="shared" si="5"/>
        <v>4298000</v>
      </c>
      <c r="P39">
        <f t="shared" si="2"/>
        <v>4298000</v>
      </c>
      <c r="Q39" s="16">
        <f t="shared" si="3"/>
        <v>4298000</v>
      </c>
      <c r="R39" s="29" t="s">
        <v>904</v>
      </c>
      <c r="S39" s="7">
        <f t="shared" si="4"/>
        <v>65</v>
      </c>
      <c r="T39" s="7">
        <v>20251231</v>
      </c>
    </row>
    <row r="40" spans="1:20" ht="27.6">
      <c r="A40" t="s">
        <v>776</v>
      </c>
      <c r="B40" s="18" t="s">
        <v>711</v>
      </c>
      <c r="C40" t="s">
        <v>600</v>
      </c>
      <c r="D40" t="s">
        <v>844</v>
      </c>
      <c r="E40" t="s">
        <v>1</v>
      </c>
      <c r="F40" t="s">
        <v>844</v>
      </c>
      <c r="G40" s="21">
        <v>60</v>
      </c>
      <c r="H40" t="s">
        <v>2</v>
      </c>
      <c r="I40" s="26">
        <v>950000</v>
      </c>
      <c r="J40">
        <v>0</v>
      </c>
      <c r="K40">
        <v>1</v>
      </c>
      <c r="L40">
        <f t="shared" si="0"/>
        <v>-5</v>
      </c>
      <c r="M40">
        <v>0</v>
      </c>
      <c r="N40">
        <v>104</v>
      </c>
      <c r="O40" s="16">
        <f t="shared" si="5"/>
        <v>950000</v>
      </c>
      <c r="P40">
        <f t="shared" si="2"/>
        <v>950000</v>
      </c>
      <c r="Q40" s="16">
        <f t="shared" si="3"/>
        <v>950000</v>
      </c>
      <c r="R40" s="29" t="s">
        <v>905</v>
      </c>
      <c r="S40" s="7">
        <f t="shared" si="4"/>
        <v>65</v>
      </c>
      <c r="T40" s="7">
        <v>20251231</v>
      </c>
    </row>
    <row r="41" spans="1:20" ht="27.6">
      <c r="A41" t="s">
        <v>777</v>
      </c>
      <c r="B41" s="18" t="s">
        <v>706</v>
      </c>
      <c r="C41" t="s">
        <v>600</v>
      </c>
      <c r="D41" t="s">
        <v>845</v>
      </c>
      <c r="E41" t="s">
        <v>1</v>
      </c>
      <c r="F41" t="s">
        <v>845</v>
      </c>
      <c r="G41" s="21">
        <v>60</v>
      </c>
      <c r="H41" t="s">
        <v>2</v>
      </c>
      <c r="I41" s="26">
        <v>6299000</v>
      </c>
      <c r="J41">
        <v>0</v>
      </c>
      <c r="K41">
        <v>1</v>
      </c>
      <c r="L41">
        <f t="shared" si="0"/>
        <v>-11</v>
      </c>
      <c r="M41">
        <v>0</v>
      </c>
      <c r="N41">
        <v>104</v>
      </c>
      <c r="O41" s="16">
        <f t="shared" si="5"/>
        <v>6299000</v>
      </c>
      <c r="P41">
        <f t="shared" si="2"/>
        <v>6299000</v>
      </c>
      <c r="Q41" s="16">
        <f t="shared" si="3"/>
        <v>6299000</v>
      </c>
      <c r="R41" s="29" t="s">
        <v>906</v>
      </c>
      <c r="S41" s="7">
        <f t="shared" si="4"/>
        <v>71</v>
      </c>
      <c r="T41" s="7">
        <v>20251231</v>
      </c>
    </row>
    <row r="42" spans="1:20" ht="27.6">
      <c r="A42" t="s">
        <v>778</v>
      </c>
      <c r="B42" s="18" t="s">
        <v>706</v>
      </c>
      <c r="C42" t="s">
        <v>600</v>
      </c>
      <c r="D42" t="s">
        <v>845</v>
      </c>
      <c r="E42" t="s">
        <v>1</v>
      </c>
      <c r="F42" t="s">
        <v>845</v>
      </c>
      <c r="G42" s="21">
        <v>60</v>
      </c>
      <c r="H42" t="s">
        <v>2</v>
      </c>
      <c r="I42" s="26">
        <v>6299000</v>
      </c>
      <c r="J42">
        <v>0</v>
      </c>
      <c r="K42">
        <v>1</v>
      </c>
      <c r="L42">
        <f t="shared" si="0"/>
        <v>-11</v>
      </c>
      <c r="M42">
        <v>0</v>
      </c>
      <c r="N42">
        <v>104</v>
      </c>
      <c r="O42" s="16">
        <f t="shared" si="5"/>
        <v>6299000</v>
      </c>
      <c r="P42">
        <f t="shared" si="2"/>
        <v>6299000</v>
      </c>
      <c r="Q42" s="16">
        <f t="shared" si="3"/>
        <v>6299000</v>
      </c>
      <c r="R42" s="29" t="s">
        <v>907</v>
      </c>
      <c r="S42" s="7">
        <f t="shared" si="4"/>
        <v>71</v>
      </c>
      <c r="T42" s="7">
        <v>20251231</v>
      </c>
    </row>
    <row r="43" spans="1:20" ht="27.6">
      <c r="A43" t="s">
        <v>779</v>
      </c>
      <c r="B43" s="18" t="s">
        <v>708</v>
      </c>
      <c r="C43" t="s">
        <v>600</v>
      </c>
      <c r="D43" t="s">
        <v>841</v>
      </c>
      <c r="E43" t="s">
        <v>1</v>
      </c>
      <c r="F43" t="s">
        <v>841</v>
      </c>
      <c r="G43" s="21">
        <v>60</v>
      </c>
      <c r="H43" t="s">
        <v>2</v>
      </c>
      <c r="I43" s="26">
        <v>899000</v>
      </c>
      <c r="J43">
        <v>0</v>
      </c>
      <c r="K43">
        <v>1</v>
      </c>
      <c r="L43">
        <f t="shared" si="0"/>
        <v>-9</v>
      </c>
      <c r="M43">
        <v>0</v>
      </c>
      <c r="N43">
        <v>104</v>
      </c>
      <c r="O43" s="16">
        <f t="shared" si="5"/>
        <v>899000</v>
      </c>
      <c r="P43">
        <f t="shared" si="2"/>
        <v>899000</v>
      </c>
      <c r="Q43" s="16">
        <f t="shared" si="3"/>
        <v>899000</v>
      </c>
      <c r="R43" s="29" t="s">
        <v>908</v>
      </c>
      <c r="S43" s="7">
        <f t="shared" si="4"/>
        <v>69</v>
      </c>
      <c r="T43" s="7">
        <v>20251231</v>
      </c>
    </row>
    <row r="44" spans="1:20" ht="27.6">
      <c r="A44" t="s">
        <v>780</v>
      </c>
      <c r="B44" s="18" t="s">
        <v>707</v>
      </c>
      <c r="C44" t="s">
        <v>600</v>
      </c>
      <c r="D44" t="s">
        <v>841</v>
      </c>
      <c r="E44" t="s">
        <v>1</v>
      </c>
      <c r="F44" t="s">
        <v>841</v>
      </c>
      <c r="G44" s="21">
        <v>60</v>
      </c>
      <c r="H44" t="s">
        <v>2</v>
      </c>
      <c r="I44" s="26">
        <v>4699000</v>
      </c>
      <c r="J44">
        <v>0</v>
      </c>
      <c r="K44">
        <v>1</v>
      </c>
      <c r="L44">
        <f t="shared" si="0"/>
        <v>-9</v>
      </c>
      <c r="M44">
        <v>0</v>
      </c>
      <c r="N44">
        <v>104</v>
      </c>
      <c r="O44" s="16">
        <f t="shared" si="5"/>
        <v>4699000</v>
      </c>
      <c r="P44">
        <f t="shared" si="2"/>
        <v>4699000</v>
      </c>
      <c r="Q44" s="16">
        <f t="shared" si="3"/>
        <v>4699000</v>
      </c>
      <c r="R44" s="29" t="s">
        <v>909</v>
      </c>
      <c r="S44" s="7">
        <f t="shared" si="4"/>
        <v>69</v>
      </c>
      <c r="T44" s="7">
        <v>20251231</v>
      </c>
    </row>
    <row r="45" spans="1:20" ht="27.6">
      <c r="A45" t="s">
        <v>781</v>
      </c>
      <c r="B45" s="18" t="s">
        <v>707</v>
      </c>
      <c r="C45" t="s">
        <v>600</v>
      </c>
      <c r="D45" t="s">
        <v>841</v>
      </c>
      <c r="E45" t="s">
        <v>1</v>
      </c>
      <c r="F45" t="s">
        <v>841</v>
      </c>
      <c r="G45" s="21">
        <v>60</v>
      </c>
      <c r="H45" t="s">
        <v>2</v>
      </c>
      <c r="I45" s="26">
        <v>4699000</v>
      </c>
      <c r="J45">
        <v>0</v>
      </c>
      <c r="K45">
        <v>1</v>
      </c>
      <c r="L45">
        <f t="shared" si="0"/>
        <v>-9</v>
      </c>
      <c r="M45">
        <v>0</v>
      </c>
      <c r="N45">
        <v>104</v>
      </c>
      <c r="O45" s="16">
        <f t="shared" si="5"/>
        <v>4699000</v>
      </c>
      <c r="P45">
        <f t="shared" si="2"/>
        <v>4699000</v>
      </c>
      <c r="Q45" s="16">
        <f t="shared" si="3"/>
        <v>4699000</v>
      </c>
      <c r="R45" s="29" t="s">
        <v>910</v>
      </c>
      <c r="S45" s="7">
        <f t="shared" si="4"/>
        <v>69</v>
      </c>
      <c r="T45" s="7">
        <v>20251231</v>
      </c>
    </row>
    <row r="46" spans="1:20" ht="27.6">
      <c r="A46" t="s">
        <v>782</v>
      </c>
      <c r="B46" s="18" t="s">
        <v>707</v>
      </c>
      <c r="C46" t="s">
        <v>600</v>
      </c>
      <c r="D46" t="s">
        <v>841</v>
      </c>
      <c r="E46" t="s">
        <v>1</v>
      </c>
      <c r="F46" t="s">
        <v>841</v>
      </c>
      <c r="G46" s="21">
        <v>60</v>
      </c>
      <c r="H46" t="s">
        <v>2</v>
      </c>
      <c r="I46" s="26">
        <v>4699000</v>
      </c>
      <c r="J46">
        <v>0</v>
      </c>
      <c r="K46">
        <v>1</v>
      </c>
      <c r="L46">
        <f t="shared" si="0"/>
        <v>-9</v>
      </c>
      <c r="M46">
        <v>0</v>
      </c>
      <c r="N46">
        <v>104</v>
      </c>
      <c r="O46" s="16">
        <f t="shared" si="5"/>
        <v>4699000</v>
      </c>
      <c r="P46">
        <f t="shared" si="2"/>
        <v>4699000</v>
      </c>
      <c r="Q46" s="16">
        <f t="shared" si="3"/>
        <v>4699000</v>
      </c>
      <c r="R46" s="29" t="s">
        <v>911</v>
      </c>
      <c r="S46" s="7">
        <f t="shared" si="4"/>
        <v>69</v>
      </c>
      <c r="T46" s="7">
        <v>20251231</v>
      </c>
    </row>
    <row r="47" spans="1:20" ht="27.6">
      <c r="A47" t="s">
        <v>783</v>
      </c>
      <c r="B47" s="18" t="s">
        <v>706</v>
      </c>
      <c r="C47" t="s">
        <v>600</v>
      </c>
      <c r="D47" t="s">
        <v>846</v>
      </c>
      <c r="E47" t="s">
        <v>1</v>
      </c>
      <c r="F47" t="s">
        <v>846</v>
      </c>
      <c r="G47" s="21">
        <v>60</v>
      </c>
      <c r="H47" t="s">
        <v>2</v>
      </c>
      <c r="I47" s="26">
        <v>5199000</v>
      </c>
      <c r="J47">
        <v>0</v>
      </c>
      <c r="K47">
        <v>1</v>
      </c>
      <c r="L47">
        <f t="shared" si="0"/>
        <v>-35</v>
      </c>
      <c r="M47">
        <v>0</v>
      </c>
      <c r="N47">
        <v>104</v>
      </c>
      <c r="O47" s="16">
        <f t="shared" si="5"/>
        <v>5199000</v>
      </c>
      <c r="P47">
        <f t="shared" si="2"/>
        <v>5199000</v>
      </c>
      <c r="Q47" s="16">
        <f t="shared" si="3"/>
        <v>5199000</v>
      </c>
      <c r="R47" s="29" t="s">
        <v>912</v>
      </c>
      <c r="S47" s="7">
        <f t="shared" si="4"/>
        <v>95</v>
      </c>
      <c r="T47" s="7">
        <v>20251231</v>
      </c>
    </row>
    <row r="48" spans="1:20" ht="27.6">
      <c r="A48" t="s">
        <v>784</v>
      </c>
      <c r="B48" s="18" t="s">
        <v>706</v>
      </c>
      <c r="C48" t="s">
        <v>600</v>
      </c>
      <c r="D48" t="s">
        <v>846</v>
      </c>
      <c r="E48" t="s">
        <v>1</v>
      </c>
      <c r="F48" t="s">
        <v>846</v>
      </c>
      <c r="G48" s="21">
        <v>60</v>
      </c>
      <c r="H48" t="s">
        <v>2</v>
      </c>
      <c r="I48" s="26">
        <v>5199000</v>
      </c>
      <c r="J48">
        <v>0</v>
      </c>
      <c r="K48">
        <v>1</v>
      </c>
      <c r="L48">
        <f t="shared" si="0"/>
        <v>-35</v>
      </c>
      <c r="M48">
        <v>0</v>
      </c>
      <c r="N48">
        <v>104</v>
      </c>
      <c r="O48" s="16">
        <f t="shared" si="5"/>
        <v>5199000</v>
      </c>
      <c r="P48">
        <f t="shared" si="2"/>
        <v>5199000</v>
      </c>
      <c r="Q48" s="16">
        <f t="shared" si="3"/>
        <v>5199000</v>
      </c>
      <c r="R48" s="29" t="s">
        <v>913</v>
      </c>
      <c r="S48" s="7">
        <f t="shared" si="4"/>
        <v>95</v>
      </c>
      <c r="T48" s="7">
        <v>20251231</v>
      </c>
    </row>
    <row r="49" spans="1:20" ht="27.6">
      <c r="A49" t="s">
        <v>785</v>
      </c>
      <c r="B49" s="18" t="s">
        <v>706</v>
      </c>
      <c r="C49" t="s">
        <v>600</v>
      </c>
      <c r="D49" t="s">
        <v>846</v>
      </c>
      <c r="E49" t="s">
        <v>1</v>
      </c>
      <c r="F49" t="s">
        <v>846</v>
      </c>
      <c r="G49" s="21">
        <v>60</v>
      </c>
      <c r="H49" t="s">
        <v>2</v>
      </c>
      <c r="I49" s="26">
        <v>5199000</v>
      </c>
      <c r="J49">
        <v>0</v>
      </c>
      <c r="K49">
        <v>1</v>
      </c>
      <c r="L49">
        <f t="shared" si="0"/>
        <v>-35</v>
      </c>
      <c r="M49">
        <v>0</v>
      </c>
      <c r="N49">
        <v>104</v>
      </c>
      <c r="O49" s="16">
        <f t="shared" si="5"/>
        <v>5199000</v>
      </c>
      <c r="P49">
        <f t="shared" si="2"/>
        <v>5199000</v>
      </c>
      <c r="Q49" s="16">
        <f t="shared" si="3"/>
        <v>5199000</v>
      </c>
      <c r="R49" s="29" t="s">
        <v>914</v>
      </c>
      <c r="S49" s="7">
        <f t="shared" si="4"/>
        <v>95</v>
      </c>
      <c r="T49" s="7">
        <v>20251231</v>
      </c>
    </row>
    <row r="50" spans="1:20" ht="27.6">
      <c r="A50" t="s">
        <v>786</v>
      </c>
      <c r="B50" s="18" t="s">
        <v>706</v>
      </c>
      <c r="C50" t="s">
        <v>600</v>
      </c>
      <c r="D50" t="s">
        <v>846</v>
      </c>
      <c r="E50" t="s">
        <v>1</v>
      </c>
      <c r="F50" t="s">
        <v>846</v>
      </c>
      <c r="G50" s="21">
        <v>60</v>
      </c>
      <c r="H50" t="s">
        <v>2</v>
      </c>
      <c r="I50" s="26">
        <v>5199000</v>
      </c>
      <c r="J50">
        <v>0</v>
      </c>
      <c r="K50">
        <v>1</v>
      </c>
      <c r="L50">
        <f t="shared" si="0"/>
        <v>-35</v>
      </c>
      <c r="M50">
        <v>0</v>
      </c>
      <c r="N50">
        <v>104</v>
      </c>
      <c r="O50" s="16">
        <f t="shared" si="5"/>
        <v>5199000</v>
      </c>
      <c r="P50">
        <f t="shared" si="2"/>
        <v>5199000</v>
      </c>
      <c r="Q50" s="16">
        <f t="shared" si="3"/>
        <v>5199000</v>
      </c>
      <c r="R50" s="29" t="s">
        <v>915</v>
      </c>
      <c r="S50" s="7">
        <f t="shared" si="4"/>
        <v>95</v>
      </c>
      <c r="T50" s="7">
        <v>20251231</v>
      </c>
    </row>
    <row r="51" spans="1:20" ht="27.6">
      <c r="A51" t="s">
        <v>787</v>
      </c>
      <c r="B51" s="18" t="s">
        <v>706</v>
      </c>
      <c r="C51" t="s">
        <v>600</v>
      </c>
      <c r="D51" t="s">
        <v>846</v>
      </c>
      <c r="E51" t="s">
        <v>1</v>
      </c>
      <c r="F51" t="s">
        <v>846</v>
      </c>
      <c r="G51" s="21">
        <v>60</v>
      </c>
      <c r="H51" t="s">
        <v>2</v>
      </c>
      <c r="I51" s="26">
        <v>5199000</v>
      </c>
      <c r="J51">
        <v>0</v>
      </c>
      <c r="K51">
        <v>1</v>
      </c>
      <c r="L51">
        <f t="shared" si="0"/>
        <v>-35</v>
      </c>
      <c r="M51">
        <v>0</v>
      </c>
      <c r="N51">
        <v>104</v>
      </c>
      <c r="O51" s="16">
        <f t="shared" si="5"/>
        <v>5199000</v>
      </c>
      <c r="P51">
        <f t="shared" si="2"/>
        <v>5199000</v>
      </c>
      <c r="Q51" s="16">
        <f t="shared" si="3"/>
        <v>5199000</v>
      </c>
      <c r="R51" s="29" t="s">
        <v>916</v>
      </c>
      <c r="S51" s="7">
        <f t="shared" si="4"/>
        <v>95</v>
      </c>
      <c r="T51" s="7">
        <v>20251231</v>
      </c>
    </row>
    <row r="52" spans="1:20" ht="27.6">
      <c r="A52" t="s">
        <v>788</v>
      </c>
      <c r="B52" s="18" t="s">
        <v>706</v>
      </c>
      <c r="C52" t="s">
        <v>600</v>
      </c>
      <c r="D52" t="s">
        <v>846</v>
      </c>
      <c r="E52" t="s">
        <v>1</v>
      </c>
      <c r="F52" t="s">
        <v>846</v>
      </c>
      <c r="G52" s="21">
        <v>60</v>
      </c>
      <c r="H52" t="s">
        <v>2</v>
      </c>
      <c r="I52" s="26">
        <v>5199000</v>
      </c>
      <c r="J52">
        <v>0</v>
      </c>
      <c r="K52">
        <v>1</v>
      </c>
      <c r="L52">
        <f t="shared" si="0"/>
        <v>-35</v>
      </c>
      <c r="M52">
        <v>0</v>
      </c>
      <c r="N52">
        <v>104</v>
      </c>
      <c r="O52" s="16">
        <f t="shared" si="5"/>
        <v>5199000</v>
      </c>
      <c r="P52">
        <f t="shared" si="2"/>
        <v>5199000</v>
      </c>
      <c r="Q52" s="16">
        <f t="shared" si="3"/>
        <v>5199000</v>
      </c>
      <c r="R52" s="29" t="s">
        <v>917</v>
      </c>
      <c r="S52" s="7">
        <f t="shared" si="4"/>
        <v>95</v>
      </c>
      <c r="T52" s="7">
        <v>20251231</v>
      </c>
    </row>
    <row r="53" spans="1:20" ht="27.6">
      <c r="A53" t="s">
        <v>789</v>
      </c>
      <c r="B53" s="18" t="s">
        <v>706</v>
      </c>
      <c r="C53" t="s">
        <v>600</v>
      </c>
      <c r="D53" t="s">
        <v>846</v>
      </c>
      <c r="E53" t="s">
        <v>1</v>
      </c>
      <c r="F53" t="s">
        <v>846</v>
      </c>
      <c r="G53" s="21">
        <v>60</v>
      </c>
      <c r="H53" t="s">
        <v>2</v>
      </c>
      <c r="I53" s="26">
        <v>5199000</v>
      </c>
      <c r="J53">
        <v>0</v>
      </c>
      <c r="K53">
        <v>1</v>
      </c>
      <c r="L53">
        <f t="shared" si="0"/>
        <v>-35</v>
      </c>
      <c r="M53">
        <v>0</v>
      </c>
      <c r="N53">
        <v>104</v>
      </c>
      <c r="O53" s="16">
        <f t="shared" si="5"/>
        <v>5199000</v>
      </c>
      <c r="P53">
        <f t="shared" si="2"/>
        <v>5199000</v>
      </c>
      <c r="Q53" s="16">
        <f t="shared" si="3"/>
        <v>5199000</v>
      </c>
      <c r="R53" s="29" t="s">
        <v>918</v>
      </c>
      <c r="S53" s="7">
        <f t="shared" si="4"/>
        <v>95</v>
      </c>
      <c r="T53" s="7">
        <v>20251231</v>
      </c>
    </row>
    <row r="54" spans="1:20" ht="27.6">
      <c r="A54" t="s">
        <v>790</v>
      </c>
      <c r="B54" s="18" t="s">
        <v>706</v>
      </c>
      <c r="C54" t="s">
        <v>600</v>
      </c>
      <c r="D54" t="s">
        <v>846</v>
      </c>
      <c r="E54" t="s">
        <v>1</v>
      </c>
      <c r="F54" t="s">
        <v>846</v>
      </c>
      <c r="G54" s="21">
        <v>60</v>
      </c>
      <c r="H54" t="s">
        <v>2</v>
      </c>
      <c r="I54" s="26">
        <v>5199000</v>
      </c>
      <c r="J54">
        <v>0</v>
      </c>
      <c r="K54">
        <v>1</v>
      </c>
      <c r="L54">
        <f t="shared" si="0"/>
        <v>-35</v>
      </c>
      <c r="M54">
        <v>0</v>
      </c>
      <c r="N54">
        <v>104</v>
      </c>
      <c r="O54" s="16">
        <f t="shared" si="5"/>
        <v>5199000</v>
      </c>
      <c r="P54">
        <f t="shared" si="2"/>
        <v>5199000</v>
      </c>
      <c r="Q54" s="16">
        <f t="shared" si="3"/>
        <v>5199000</v>
      </c>
      <c r="R54" s="29" t="s">
        <v>919</v>
      </c>
      <c r="S54" s="7">
        <f t="shared" si="4"/>
        <v>95</v>
      </c>
      <c r="T54" s="7">
        <v>20251231</v>
      </c>
    </row>
    <row r="55" spans="1:20" ht="27.6">
      <c r="A55" t="s">
        <v>791</v>
      </c>
      <c r="B55" s="18" t="s">
        <v>708</v>
      </c>
      <c r="C55" t="s">
        <v>600</v>
      </c>
      <c r="D55" t="s">
        <v>847</v>
      </c>
      <c r="E55" t="s">
        <v>1</v>
      </c>
      <c r="F55" t="s">
        <v>847</v>
      </c>
      <c r="G55" s="21">
        <v>60</v>
      </c>
      <c r="H55" t="s">
        <v>2</v>
      </c>
      <c r="I55" s="26">
        <v>1990000</v>
      </c>
      <c r="J55">
        <v>0</v>
      </c>
      <c r="K55">
        <v>1</v>
      </c>
      <c r="L55">
        <f t="shared" si="0"/>
        <v>-33</v>
      </c>
      <c r="M55">
        <v>0</v>
      </c>
      <c r="N55">
        <v>104</v>
      </c>
      <c r="O55" s="16">
        <f t="shared" si="5"/>
        <v>1990000</v>
      </c>
      <c r="P55">
        <f t="shared" si="2"/>
        <v>1990000</v>
      </c>
      <c r="Q55" s="16">
        <f t="shared" si="3"/>
        <v>1990000</v>
      </c>
      <c r="R55" s="29" t="s">
        <v>920</v>
      </c>
      <c r="S55" s="7">
        <f t="shared" si="4"/>
        <v>93</v>
      </c>
      <c r="T55" s="7">
        <v>20251231</v>
      </c>
    </row>
    <row r="56" spans="1:20" ht="27.6">
      <c r="A56" t="s">
        <v>792</v>
      </c>
      <c r="B56" s="18" t="s">
        <v>710</v>
      </c>
      <c r="C56" t="s">
        <v>600</v>
      </c>
      <c r="D56" t="s">
        <v>575</v>
      </c>
      <c r="E56" t="s">
        <v>1</v>
      </c>
      <c r="F56" t="s">
        <v>575</v>
      </c>
      <c r="G56" s="21">
        <v>60</v>
      </c>
      <c r="H56" t="s">
        <v>2</v>
      </c>
      <c r="I56" s="26">
        <v>5442500</v>
      </c>
      <c r="J56">
        <v>0</v>
      </c>
      <c r="K56">
        <v>1</v>
      </c>
      <c r="L56">
        <f t="shared" si="0"/>
        <v>-35</v>
      </c>
      <c r="M56">
        <v>0</v>
      </c>
      <c r="N56">
        <v>104</v>
      </c>
      <c r="O56" s="16">
        <f t="shared" si="5"/>
        <v>5442500</v>
      </c>
      <c r="P56">
        <f t="shared" si="2"/>
        <v>5442500</v>
      </c>
      <c r="Q56" s="16">
        <f t="shared" si="3"/>
        <v>5442500</v>
      </c>
      <c r="R56" s="29" t="s">
        <v>921</v>
      </c>
      <c r="S56" s="7">
        <f t="shared" si="4"/>
        <v>95</v>
      </c>
      <c r="T56" s="7">
        <v>20251231</v>
      </c>
    </row>
    <row r="57" spans="1:20" ht="27.6">
      <c r="A57" t="s">
        <v>793</v>
      </c>
      <c r="B57" s="18" t="s">
        <v>709</v>
      </c>
      <c r="C57" t="s">
        <v>600</v>
      </c>
      <c r="D57" t="s">
        <v>575</v>
      </c>
      <c r="E57" t="s">
        <v>1</v>
      </c>
      <c r="F57" t="s">
        <v>575</v>
      </c>
      <c r="G57" s="21">
        <v>60</v>
      </c>
      <c r="H57" t="s">
        <v>2</v>
      </c>
      <c r="I57" s="26">
        <v>4448000</v>
      </c>
      <c r="J57">
        <v>0</v>
      </c>
      <c r="K57">
        <v>1</v>
      </c>
      <c r="L57">
        <f t="shared" si="0"/>
        <v>-35</v>
      </c>
      <c r="M57">
        <v>0</v>
      </c>
      <c r="N57">
        <v>104</v>
      </c>
      <c r="O57" s="16">
        <f t="shared" si="5"/>
        <v>4448000</v>
      </c>
      <c r="P57">
        <f t="shared" si="2"/>
        <v>4448000</v>
      </c>
      <c r="Q57" s="16">
        <f t="shared" si="3"/>
        <v>4448000</v>
      </c>
      <c r="R57" s="29" t="s">
        <v>922</v>
      </c>
      <c r="S57" s="7">
        <f t="shared" si="4"/>
        <v>95</v>
      </c>
      <c r="T57" s="7">
        <v>20251231</v>
      </c>
    </row>
    <row r="58" spans="1:20" ht="27.6">
      <c r="A58" t="s">
        <v>794</v>
      </c>
      <c r="B58" s="18" t="s">
        <v>709</v>
      </c>
      <c r="C58" t="s">
        <v>600</v>
      </c>
      <c r="D58" t="s">
        <v>575</v>
      </c>
      <c r="E58" t="s">
        <v>1</v>
      </c>
      <c r="F58" t="s">
        <v>575</v>
      </c>
      <c r="G58" s="21">
        <v>60</v>
      </c>
      <c r="H58" t="s">
        <v>2</v>
      </c>
      <c r="I58" s="26">
        <v>4448000</v>
      </c>
      <c r="J58">
        <v>0</v>
      </c>
      <c r="K58">
        <v>1</v>
      </c>
      <c r="L58">
        <f t="shared" si="0"/>
        <v>-35</v>
      </c>
      <c r="M58">
        <v>0</v>
      </c>
      <c r="N58">
        <v>104</v>
      </c>
      <c r="O58" s="16">
        <f t="shared" si="5"/>
        <v>4448000</v>
      </c>
      <c r="P58">
        <f t="shared" si="2"/>
        <v>4448000</v>
      </c>
      <c r="Q58" s="16">
        <f t="shared" si="3"/>
        <v>4448000</v>
      </c>
      <c r="R58" s="29" t="s">
        <v>923</v>
      </c>
      <c r="S58" s="7">
        <f t="shared" si="4"/>
        <v>95</v>
      </c>
      <c r="T58" s="7">
        <v>20251231</v>
      </c>
    </row>
    <row r="59" spans="1:20" ht="27.6">
      <c r="A59" t="s">
        <v>795</v>
      </c>
      <c r="B59" s="18" t="s">
        <v>712</v>
      </c>
      <c r="C59" t="s">
        <v>600</v>
      </c>
      <c r="D59" t="s">
        <v>575</v>
      </c>
      <c r="E59" t="s">
        <v>1</v>
      </c>
      <c r="F59" t="s">
        <v>575</v>
      </c>
      <c r="G59" s="21">
        <v>60</v>
      </c>
      <c r="H59" t="s">
        <v>2</v>
      </c>
      <c r="I59" s="26">
        <v>5442500</v>
      </c>
      <c r="J59">
        <v>0</v>
      </c>
      <c r="K59">
        <v>1</v>
      </c>
      <c r="L59">
        <f t="shared" si="0"/>
        <v>-35</v>
      </c>
      <c r="M59">
        <v>0</v>
      </c>
      <c r="N59">
        <v>104</v>
      </c>
      <c r="O59" s="16">
        <f t="shared" si="5"/>
        <v>5442500</v>
      </c>
      <c r="P59">
        <f t="shared" si="2"/>
        <v>5442500</v>
      </c>
      <c r="Q59" s="16">
        <f t="shared" si="3"/>
        <v>5442500</v>
      </c>
      <c r="R59" s="29" t="s">
        <v>924</v>
      </c>
      <c r="S59" s="7">
        <f t="shared" si="4"/>
        <v>95</v>
      </c>
      <c r="T59" s="7">
        <v>20251231</v>
      </c>
    </row>
    <row r="60" spans="1:20" ht="27.6">
      <c r="A60" t="s">
        <v>796</v>
      </c>
      <c r="B60" s="18" t="s">
        <v>707</v>
      </c>
      <c r="C60" t="s">
        <v>600</v>
      </c>
      <c r="D60" t="s">
        <v>575</v>
      </c>
      <c r="E60" t="s">
        <v>1</v>
      </c>
      <c r="F60" t="s">
        <v>575</v>
      </c>
      <c r="G60" s="21">
        <v>60</v>
      </c>
      <c r="H60" t="s">
        <v>2</v>
      </c>
      <c r="I60" s="26">
        <v>5442500</v>
      </c>
      <c r="J60">
        <v>0</v>
      </c>
      <c r="K60">
        <v>1</v>
      </c>
      <c r="L60">
        <f t="shared" si="0"/>
        <v>-35</v>
      </c>
      <c r="M60">
        <v>0</v>
      </c>
      <c r="N60">
        <v>104</v>
      </c>
      <c r="O60" s="16">
        <f t="shared" si="5"/>
        <v>5442500</v>
      </c>
      <c r="P60">
        <f t="shared" si="2"/>
        <v>5442500</v>
      </c>
      <c r="Q60" s="16">
        <f t="shared" si="3"/>
        <v>5442500</v>
      </c>
      <c r="R60" s="29" t="s">
        <v>925</v>
      </c>
      <c r="S60" s="7">
        <f t="shared" si="4"/>
        <v>95</v>
      </c>
      <c r="T60" s="7">
        <v>20251231</v>
      </c>
    </row>
    <row r="61" spans="1:20" ht="27.6">
      <c r="A61" t="s">
        <v>797</v>
      </c>
      <c r="B61" s="18" t="s">
        <v>707</v>
      </c>
      <c r="C61" t="s">
        <v>600</v>
      </c>
      <c r="D61" t="s">
        <v>575</v>
      </c>
      <c r="E61" t="s">
        <v>1</v>
      </c>
      <c r="F61" t="s">
        <v>575</v>
      </c>
      <c r="G61" s="21">
        <v>60</v>
      </c>
      <c r="H61" t="s">
        <v>2</v>
      </c>
      <c r="I61" s="26">
        <v>5442500</v>
      </c>
      <c r="J61">
        <v>0</v>
      </c>
      <c r="K61">
        <v>1</v>
      </c>
      <c r="L61">
        <f t="shared" si="0"/>
        <v>-35</v>
      </c>
      <c r="M61">
        <v>0</v>
      </c>
      <c r="N61">
        <v>104</v>
      </c>
      <c r="O61" s="16">
        <f t="shared" si="5"/>
        <v>5442500</v>
      </c>
      <c r="P61">
        <f t="shared" si="2"/>
        <v>5442500</v>
      </c>
      <c r="Q61" s="16">
        <f t="shared" si="3"/>
        <v>5442500</v>
      </c>
      <c r="R61" s="29" t="s">
        <v>926</v>
      </c>
      <c r="S61" s="7">
        <f t="shared" si="4"/>
        <v>95</v>
      </c>
      <c r="T61" s="7">
        <v>20251231</v>
      </c>
    </row>
    <row r="62" spans="1:20" ht="27.6">
      <c r="A62" t="s">
        <v>798</v>
      </c>
      <c r="B62" s="18" t="s">
        <v>707</v>
      </c>
      <c r="C62" t="s">
        <v>600</v>
      </c>
      <c r="D62" t="s">
        <v>575</v>
      </c>
      <c r="E62" t="s">
        <v>1</v>
      </c>
      <c r="F62" t="s">
        <v>575</v>
      </c>
      <c r="G62" s="21">
        <v>60</v>
      </c>
      <c r="H62" t="s">
        <v>2</v>
      </c>
      <c r="I62" s="26">
        <v>5442500</v>
      </c>
      <c r="J62">
        <v>0</v>
      </c>
      <c r="K62">
        <v>1</v>
      </c>
      <c r="L62">
        <f t="shared" si="0"/>
        <v>-35</v>
      </c>
      <c r="M62">
        <v>0</v>
      </c>
      <c r="N62">
        <v>104</v>
      </c>
      <c r="O62" s="16">
        <f t="shared" si="5"/>
        <v>5442500</v>
      </c>
      <c r="P62">
        <f t="shared" si="2"/>
        <v>5442500</v>
      </c>
      <c r="Q62" s="16">
        <f t="shared" si="3"/>
        <v>5442500</v>
      </c>
      <c r="R62" s="29" t="s">
        <v>927</v>
      </c>
      <c r="S62" s="7">
        <f t="shared" si="4"/>
        <v>95</v>
      </c>
      <c r="T62" s="7">
        <v>20251231</v>
      </c>
    </row>
    <row r="63" spans="1:20" ht="27.6">
      <c r="A63" t="s">
        <v>799</v>
      </c>
      <c r="B63" s="18" t="s">
        <v>707</v>
      </c>
      <c r="C63" t="s">
        <v>600</v>
      </c>
      <c r="D63" t="s">
        <v>575</v>
      </c>
      <c r="E63" t="s">
        <v>1</v>
      </c>
      <c r="F63" t="s">
        <v>575</v>
      </c>
      <c r="G63" s="21">
        <v>60</v>
      </c>
      <c r="H63" t="s">
        <v>2</v>
      </c>
      <c r="I63" s="26">
        <v>5442500</v>
      </c>
      <c r="J63">
        <v>0</v>
      </c>
      <c r="K63">
        <v>1</v>
      </c>
      <c r="L63">
        <f t="shared" si="0"/>
        <v>-35</v>
      </c>
      <c r="M63">
        <v>0</v>
      </c>
      <c r="N63">
        <v>104</v>
      </c>
      <c r="O63" s="16">
        <f t="shared" si="5"/>
        <v>5442500</v>
      </c>
      <c r="P63">
        <f t="shared" si="2"/>
        <v>5442500</v>
      </c>
      <c r="Q63" s="16">
        <f t="shared" si="3"/>
        <v>5442500</v>
      </c>
      <c r="R63" s="29" t="s">
        <v>928</v>
      </c>
      <c r="S63" s="7">
        <f t="shared" si="4"/>
        <v>95</v>
      </c>
      <c r="T63" s="7">
        <v>20251231</v>
      </c>
    </row>
    <row r="64" spans="1:20" ht="27.6">
      <c r="A64" t="s">
        <v>800</v>
      </c>
      <c r="B64" s="18" t="s">
        <v>713</v>
      </c>
      <c r="C64" t="s">
        <v>600</v>
      </c>
      <c r="D64" t="s">
        <v>575</v>
      </c>
      <c r="E64" t="s">
        <v>1</v>
      </c>
      <c r="F64" t="s">
        <v>575</v>
      </c>
      <c r="G64" s="21">
        <v>60</v>
      </c>
      <c r="H64" t="s">
        <v>2</v>
      </c>
      <c r="I64" s="26">
        <v>4800000</v>
      </c>
      <c r="J64">
        <v>0</v>
      </c>
      <c r="K64">
        <v>1</v>
      </c>
      <c r="L64">
        <f t="shared" si="0"/>
        <v>-35</v>
      </c>
      <c r="M64">
        <v>0</v>
      </c>
      <c r="N64">
        <v>104</v>
      </c>
      <c r="O64" s="16">
        <f t="shared" si="5"/>
        <v>4800000</v>
      </c>
      <c r="P64">
        <f t="shared" si="2"/>
        <v>4800000</v>
      </c>
      <c r="Q64" s="16">
        <f t="shared" si="3"/>
        <v>4800000</v>
      </c>
      <c r="R64" s="29" t="s">
        <v>929</v>
      </c>
      <c r="S64" s="7">
        <f t="shared" si="4"/>
        <v>95</v>
      </c>
      <c r="T64" s="7">
        <v>20251231</v>
      </c>
    </row>
    <row r="65" spans="1:20" ht="27.6">
      <c r="A65" t="s">
        <v>801</v>
      </c>
      <c r="B65" s="18" t="s">
        <v>714</v>
      </c>
      <c r="C65" t="s">
        <v>600</v>
      </c>
      <c r="D65" t="s">
        <v>575</v>
      </c>
      <c r="E65" t="s">
        <v>1</v>
      </c>
      <c r="F65" t="s">
        <v>575</v>
      </c>
      <c r="G65" s="21">
        <v>60</v>
      </c>
      <c r="H65" t="s">
        <v>2</v>
      </c>
      <c r="I65" s="26">
        <v>2000000</v>
      </c>
      <c r="J65">
        <v>0</v>
      </c>
      <c r="K65">
        <v>1</v>
      </c>
      <c r="L65">
        <f t="shared" si="0"/>
        <v>-35</v>
      </c>
      <c r="M65">
        <v>0</v>
      </c>
      <c r="N65">
        <v>104</v>
      </c>
      <c r="O65" s="16">
        <f t="shared" si="5"/>
        <v>2000000</v>
      </c>
      <c r="P65">
        <f t="shared" si="2"/>
        <v>2000000</v>
      </c>
      <c r="Q65" s="16">
        <f t="shared" si="3"/>
        <v>2000000</v>
      </c>
      <c r="R65" s="29" t="s">
        <v>930</v>
      </c>
      <c r="S65" s="7">
        <f t="shared" si="4"/>
        <v>95</v>
      </c>
      <c r="T65" s="7">
        <v>20251231</v>
      </c>
    </row>
    <row r="66" spans="1:20" ht="27.6">
      <c r="A66" t="s">
        <v>802</v>
      </c>
      <c r="B66" s="18" t="s">
        <v>707</v>
      </c>
      <c r="C66" t="s">
        <v>600</v>
      </c>
      <c r="D66" t="s">
        <v>575</v>
      </c>
      <c r="E66" t="s">
        <v>1</v>
      </c>
      <c r="F66" t="s">
        <v>575</v>
      </c>
      <c r="G66" s="21">
        <v>60</v>
      </c>
      <c r="H66" t="s">
        <v>2</v>
      </c>
      <c r="I66" s="26">
        <v>5442500</v>
      </c>
      <c r="J66">
        <v>0</v>
      </c>
      <c r="K66">
        <v>1</v>
      </c>
      <c r="L66">
        <f t="shared" si="0"/>
        <v>-35</v>
      </c>
      <c r="M66">
        <v>0</v>
      </c>
      <c r="N66">
        <v>104</v>
      </c>
      <c r="O66" s="16">
        <f t="shared" si="5"/>
        <v>5442500</v>
      </c>
      <c r="P66">
        <f t="shared" si="2"/>
        <v>5442500</v>
      </c>
      <c r="Q66" s="16">
        <f t="shared" si="3"/>
        <v>5442500</v>
      </c>
      <c r="R66" s="29" t="s">
        <v>931</v>
      </c>
      <c r="S66" s="7">
        <f t="shared" si="4"/>
        <v>95</v>
      </c>
      <c r="T66" s="7">
        <v>20251231</v>
      </c>
    </row>
    <row r="67" spans="1:20" ht="27.6">
      <c r="A67" t="s">
        <v>803</v>
      </c>
      <c r="B67" s="18" t="s">
        <v>707</v>
      </c>
      <c r="C67" t="s">
        <v>600</v>
      </c>
      <c r="D67" t="s">
        <v>575</v>
      </c>
      <c r="E67" t="s">
        <v>1</v>
      </c>
      <c r="F67" t="s">
        <v>575</v>
      </c>
      <c r="G67" s="21">
        <v>60</v>
      </c>
      <c r="H67" t="s">
        <v>2</v>
      </c>
      <c r="I67" s="26">
        <v>5442500</v>
      </c>
      <c r="J67">
        <v>0</v>
      </c>
      <c r="K67">
        <v>1</v>
      </c>
      <c r="L67">
        <f t="shared" ref="L67:L93" si="6">G67-S67</f>
        <v>-35</v>
      </c>
      <c r="M67">
        <v>0</v>
      </c>
      <c r="N67">
        <v>104</v>
      </c>
      <c r="O67" s="16">
        <f t="shared" si="5"/>
        <v>5442500</v>
      </c>
      <c r="P67">
        <f t="shared" ref="P67:P93" si="7">ROUND(O67, 2)</f>
        <v>5442500</v>
      </c>
      <c r="Q67" s="16">
        <f t="shared" ref="Q67:Q93" si="8">I67</f>
        <v>5442500</v>
      </c>
      <c r="R67" s="29" t="s">
        <v>932</v>
      </c>
      <c r="S67" s="7">
        <f t="shared" ref="S67:S93" si="9">DATEDIF(DATE(LEFT(D67,4),MID(D67,5,2),MID(D67,7,2)), DATE(LEFT(T67,4),MID(T67,5,2),MID(T67,7,2)),"m")</f>
        <v>95</v>
      </c>
      <c r="T67" s="7">
        <v>20251231</v>
      </c>
    </row>
    <row r="68" spans="1:20" ht="27.6">
      <c r="A68" t="s">
        <v>804</v>
      </c>
      <c r="B68" s="18" t="s">
        <v>710</v>
      </c>
      <c r="C68" t="s">
        <v>600</v>
      </c>
      <c r="D68" t="s">
        <v>575</v>
      </c>
      <c r="E68" t="s">
        <v>1</v>
      </c>
      <c r="F68" t="s">
        <v>575</v>
      </c>
      <c r="G68" s="21">
        <v>60</v>
      </c>
      <c r="H68" t="s">
        <v>2</v>
      </c>
      <c r="I68" s="26">
        <v>1461700</v>
      </c>
      <c r="J68">
        <v>0</v>
      </c>
      <c r="K68">
        <v>1</v>
      </c>
      <c r="L68">
        <f t="shared" si="6"/>
        <v>-35</v>
      </c>
      <c r="M68">
        <v>0</v>
      </c>
      <c r="N68">
        <v>104</v>
      </c>
      <c r="O68" s="16">
        <f t="shared" si="5"/>
        <v>1461700</v>
      </c>
      <c r="P68">
        <f t="shared" si="7"/>
        <v>1461700</v>
      </c>
      <c r="Q68" s="16">
        <f t="shared" si="8"/>
        <v>1461700</v>
      </c>
      <c r="R68" s="29" t="s">
        <v>933</v>
      </c>
      <c r="S68" s="7">
        <f t="shared" si="9"/>
        <v>95</v>
      </c>
      <c r="T68" s="7">
        <v>20251231</v>
      </c>
    </row>
    <row r="69" spans="1:20" ht="27.6">
      <c r="A69" t="s">
        <v>805</v>
      </c>
      <c r="B69" s="18" t="s">
        <v>712</v>
      </c>
      <c r="C69" t="s">
        <v>600</v>
      </c>
      <c r="D69" t="s">
        <v>575</v>
      </c>
      <c r="E69" t="s">
        <v>1</v>
      </c>
      <c r="F69" t="s">
        <v>575</v>
      </c>
      <c r="G69" s="21">
        <v>60</v>
      </c>
      <c r="H69" t="s">
        <v>2</v>
      </c>
      <c r="I69" s="26">
        <v>1461700</v>
      </c>
      <c r="J69">
        <v>0</v>
      </c>
      <c r="K69">
        <v>1</v>
      </c>
      <c r="L69">
        <f t="shared" si="6"/>
        <v>-35</v>
      </c>
      <c r="M69">
        <v>0</v>
      </c>
      <c r="N69">
        <v>104</v>
      </c>
      <c r="O69" s="16">
        <f t="shared" si="5"/>
        <v>1461700</v>
      </c>
      <c r="P69">
        <f t="shared" si="7"/>
        <v>1461700</v>
      </c>
      <c r="Q69" s="16">
        <f t="shared" si="8"/>
        <v>1461700</v>
      </c>
      <c r="R69" s="29" t="s">
        <v>934</v>
      </c>
      <c r="S69" s="7">
        <f t="shared" si="9"/>
        <v>95</v>
      </c>
      <c r="T69" s="7">
        <v>20251231</v>
      </c>
    </row>
    <row r="70" spans="1:20" ht="27.6">
      <c r="A70" t="s">
        <v>806</v>
      </c>
      <c r="B70" s="18" t="s">
        <v>715</v>
      </c>
      <c r="C70" t="s">
        <v>600</v>
      </c>
      <c r="D70" t="s">
        <v>848</v>
      </c>
      <c r="E70" t="s">
        <v>1</v>
      </c>
      <c r="F70" t="s">
        <v>848</v>
      </c>
      <c r="G70" s="21">
        <v>60</v>
      </c>
      <c r="H70" t="s">
        <v>2</v>
      </c>
      <c r="I70" s="26">
        <v>1499000</v>
      </c>
      <c r="J70">
        <v>0</v>
      </c>
      <c r="K70">
        <v>1</v>
      </c>
      <c r="L70">
        <f t="shared" si="6"/>
        <v>1</v>
      </c>
      <c r="M70">
        <v>0</v>
      </c>
      <c r="N70">
        <v>104</v>
      </c>
      <c r="O70" s="16">
        <f t="shared" si="5"/>
        <v>1499000</v>
      </c>
      <c r="P70">
        <f t="shared" si="7"/>
        <v>1499000</v>
      </c>
      <c r="Q70" s="16">
        <f t="shared" si="8"/>
        <v>1499000</v>
      </c>
      <c r="R70" s="29" t="s">
        <v>935</v>
      </c>
      <c r="S70" s="7">
        <f t="shared" si="9"/>
        <v>59</v>
      </c>
      <c r="T70" s="7">
        <v>20251231</v>
      </c>
    </row>
    <row r="71" spans="1:20" ht="27.6">
      <c r="A71" t="s">
        <v>807</v>
      </c>
      <c r="B71" s="18" t="s">
        <v>716</v>
      </c>
      <c r="C71" t="s">
        <v>600</v>
      </c>
      <c r="D71" t="s">
        <v>849</v>
      </c>
      <c r="E71" t="s">
        <v>1</v>
      </c>
      <c r="F71" t="s">
        <v>849</v>
      </c>
      <c r="G71" s="21">
        <v>60</v>
      </c>
      <c r="H71" t="s">
        <v>2</v>
      </c>
      <c r="I71" s="26">
        <v>5526000</v>
      </c>
      <c r="J71">
        <v>0</v>
      </c>
      <c r="K71">
        <v>1</v>
      </c>
      <c r="L71">
        <f t="shared" si="6"/>
        <v>2</v>
      </c>
      <c r="M71">
        <f t="shared" ref="M71:M93" si="10">L71-1</f>
        <v>1</v>
      </c>
      <c r="N71">
        <v>104</v>
      </c>
      <c r="O71">
        <v>5359463.01369863</v>
      </c>
      <c r="P71">
        <f t="shared" si="7"/>
        <v>5359463.01</v>
      </c>
      <c r="Q71" s="16">
        <f t="shared" si="8"/>
        <v>5526000</v>
      </c>
      <c r="R71" s="29" t="s">
        <v>936</v>
      </c>
      <c r="S71" s="7">
        <f t="shared" si="9"/>
        <v>58</v>
      </c>
      <c r="T71" s="7">
        <v>20251231</v>
      </c>
    </row>
    <row r="72" spans="1:20" ht="27.6">
      <c r="A72" t="s">
        <v>808</v>
      </c>
      <c r="B72" s="18" t="s">
        <v>717</v>
      </c>
      <c r="C72" t="s">
        <v>600</v>
      </c>
      <c r="D72" t="s">
        <v>850</v>
      </c>
      <c r="E72" t="s">
        <v>1</v>
      </c>
      <c r="F72" t="s">
        <v>850</v>
      </c>
      <c r="G72" s="21">
        <v>60</v>
      </c>
      <c r="H72" t="s">
        <v>2</v>
      </c>
      <c r="I72" s="26">
        <v>1980000</v>
      </c>
      <c r="J72">
        <v>0</v>
      </c>
      <c r="K72">
        <v>1</v>
      </c>
      <c r="L72">
        <f t="shared" si="6"/>
        <v>4</v>
      </c>
      <c r="M72">
        <f t="shared" si="10"/>
        <v>3</v>
      </c>
      <c r="N72">
        <v>104</v>
      </c>
      <c r="O72">
        <v>1876931.5068493153</v>
      </c>
      <c r="P72">
        <f t="shared" si="7"/>
        <v>1876931.51</v>
      </c>
      <c r="Q72" s="16">
        <f t="shared" si="8"/>
        <v>1980000</v>
      </c>
      <c r="R72" s="29" t="s">
        <v>937</v>
      </c>
      <c r="S72" s="7">
        <f t="shared" si="9"/>
        <v>56</v>
      </c>
      <c r="T72" s="7">
        <v>20251231</v>
      </c>
    </row>
    <row r="73" spans="1:20" ht="27.6">
      <c r="A73" t="s">
        <v>809</v>
      </c>
      <c r="B73" s="18" t="s">
        <v>718</v>
      </c>
      <c r="C73" t="s">
        <v>600</v>
      </c>
      <c r="D73" t="s">
        <v>851</v>
      </c>
      <c r="E73" t="s">
        <v>1</v>
      </c>
      <c r="F73" t="s">
        <v>851</v>
      </c>
      <c r="G73" s="21">
        <v>60</v>
      </c>
      <c r="H73" t="s">
        <v>2</v>
      </c>
      <c r="I73" s="26">
        <v>4799000</v>
      </c>
      <c r="J73">
        <v>0</v>
      </c>
      <c r="K73">
        <v>1</v>
      </c>
      <c r="L73">
        <f t="shared" si="6"/>
        <v>8</v>
      </c>
      <c r="M73">
        <f t="shared" si="10"/>
        <v>7</v>
      </c>
      <c r="N73">
        <v>104</v>
      </c>
      <c r="O73">
        <v>4231008.7671232875</v>
      </c>
      <c r="P73">
        <f t="shared" si="7"/>
        <v>4231008.7699999996</v>
      </c>
      <c r="Q73" s="16">
        <f t="shared" si="8"/>
        <v>4799000</v>
      </c>
      <c r="R73" s="29" t="s">
        <v>938</v>
      </c>
      <c r="S73" s="7">
        <f t="shared" si="9"/>
        <v>52</v>
      </c>
      <c r="T73" s="7">
        <v>20251231</v>
      </c>
    </row>
    <row r="74" spans="1:20" ht="27.6">
      <c r="A74" t="s">
        <v>810</v>
      </c>
      <c r="B74" s="18" t="s">
        <v>719</v>
      </c>
      <c r="C74" t="s">
        <v>600</v>
      </c>
      <c r="D74" t="s">
        <v>852</v>
      </c>
      <c r="E74" t="s">
        <v>1</v>
      </c>
      <c r="F74" t="s">
        <v>852</v>
      </c>
      <c r="G74" s="21">
        <v>60</v>
      </c>
      <c r="H74" t="s">
        <v>2</v>
      </c>
      <c r="I74" s="26">
        <v>5939841</v>
      </c>
      <c r="J74">
        <v>0</v>
      </c>
      <c r="K74">
        <v>1</v>
      </c>
      <c r="L74">
        <f t="shared" si="6"/>
        <v>4</v>
      </c>
      <c r="M74">
        <f t="shared" si="10"/>
        <v>3</v>
      </c>
      <c r="N74">
        <v>104</v>
      </c>
      <c r="O74">
        <v>5555785.5271232873</v>
      </c>
      <c r="P74">
        <f t="shared" si="7"/>
        <v>5555785.5300000003</v>
      </c>
      <c r="Q74" s="16">
        <f t="shared" si="8"/>
        <v>5939841</v>
      </c>
      <c r="R74" s="29" t="s">
        <v>939</v>
      </c>
      <c r="S74" s="7">
        <f t="shared" si="9"/>
        <v>56</v>
      </c>
      <c r="T74" s="7">
        <v>20251231</v>
      </c>
    </row>
    <row r="75" spans="1:20" ht="27.6">
      <c r="A75" t="s">
        <v>811</v>
      </c>
      <c r="B75" s="18" t="s">
        <v>720</v>
      </c>
      <c r="C75" t="s">
        <v>600</v>
      </c>
      <c r="D75" t="s">
        <v>853</v>
      </c>
      <c r="E75" t="s">
        <v>1</v>
      </c>
      <c r="F75" t="s">
        <v>853</v>
      </c>
      <c r="G75" s="21">
        <v>60</v>
      </c>
      <c r="H75" t="s">
        <v>2</v>
      </c>
      <c r="I75" s="26">
        <v>2350000</v>
      </c>
      <c r="J75">
        <v>0</v>
      </c>
      <c r="K75">
        <v>1</v>
      </c>
      <c r="L75">
        <f t="shared" si="6"/>
        <v>6</v>
      </c>
      <c r="M75">
        <f t="shared" si="10"/>
        <v>5</v>
      </c>
      <c r="N75">
        <v>104</v>
      </c>
      <c r="O75">
        <v>2134958.9041095888</v>
      </c>
      <c r="P75">
        <f t="shared" si="7"/>
        <v>2134958.9</v>
      </c>
      <c r="Q75" s="16">
        <f t="shared" si="8"/>
        <v>2350000</v>
      </c>
      <c r="R75" s="29" t="s">
        <v>940</v>
      </c>
      <c r="S75" s="7">
        <f t="shared" si="9"/>
        <v>54</v>
      </c>
      <c r="T75" s="7">
        <v>20251231</v>
      </c>
    </row>
    <row r="76" spans="1:20" ht="27.6">
      <c r="A76" t="s">
        <v>812</v>
      </c>
      <c r="B76" s="18" t="s">
        <v>721</v>
      </c>
      <c r="C76" t="s">
        <v>600</v>
      </c>
      <c r="D76" t="s">
        <v>853</v>
      </c>
      <c r="E76" t="s">
        <v>1</v>
      </c>
      <c r="F76" t="s">
        <v>853</v>
      </c>
      <c r="G76" s="21">
        <v>60</v>
      </c>
      <c r="H76" t="s">
        <v>2</v>
      </c>
      <c r="I76" s="26">
        <v>7599000</v>
      </c>
      <c r="J76">
        <v>0</v>
      </c>
      <c r="K76">
        <v>1</v>
      </c>
      <c r="L76">
        <f t="shared" si="6"/>
        <v>6</v>
      </c>
      <c r="M76">
        <f t="shared" si="10"/>
        <v>5</v>
      </c>
      <c r="N76">
        <v>104</v>
      </c>
      <c r="O76">
        <v>6903639.4520547958</v>
      </c>
      <c r="P76">
        <f t="shared" si="7"/>
        <v>6903639.4500000002</v>
      </c>
      <c r="Q76" s="16">
        <f t="shared" si="8"/>
        <v>7599000</v>
      </c>
      <c r="R76" s="29" t="s">
        <v>941</v>
      </c>
      <c r="S76" s="7">
        <f t="shared" si="9"/>
        <v>54</v>
      </c>
      <c r="T76" s="7">
        <v>20251231</v>
      </c>
    </row>
    <row r="77" spans="1:20" ht="27.6">
      <c r="A77" t="s">
        <v>813</v>
      </c>
      <c r="B77" s="18" t="s">
        <v>722</v>
      </c>
      <c r="C77" t="s">
        <v>600</v>
      </c>
      <c r="D77" t="s">
        <v>853</v>
      </c>
      <c r="E77" t="s">
        <v>1</v>
      </c>
      <c r="F77" t="s">
        <v>853</v>
      </c>
      <c r="G77" s="21">
        <v>60</v>
      </c>
      <c r="H77" t="s">
        <v>2</v>
      </c>
      <c r="I77" s="26">
        <v>2400000</v>
      </c>
      <c r="J77">
        <v>0</v>
      </c>
      <c r="K77">
        <v>1</v>
      </c>
      <c r="L77">
        <f t="shared" si="6"/>
        <v>6</v>
      </c>
      <c r="M77">
        <f t="shared" si="10"/>
        <v>5</v>
      </c>
      <c r="N77">
        <v>104</v>
      </c>
      <c r="O77">
        <v>2180383.5616438356</v>
      </c>
      <c r="P77">
        <f t="shared" si="7"/>
        <v>2180383.56</v>
      </c>
      <c r="Q77" s="16">
        <f t="shared" si="8"/>
        <v>2400000</v>
      </c>
      <c r="R77" s="29" t="s">
        <v>942</v>
      </c>
      <c r="S77" s="7">
        <f t="shared" si="9"/>
        <v>54</v>
      </c>
      <c r="T77" s="7">
        <v>20251231</v>
      </c>
    </row>
    <row r="78" spans="1:20" ht="27.6">
      <c r="A78" t="s">
        <v>814</v>
      </c>
      <c r="B78" s="18" t="s">
        <v>723</v>
      </c>
      <c r="C78" t="s">
        <v>600</v>
      </c>
      <c r="D78" t="s">
        <v>854</v>
      </c>
      <c r="E78" t="s">
        <v>1</v>
      </c>
      <c r="F78" t="s">
        <v>854</v>
      </c>
      <c r="G78" s="21">
        <v>60</v>
      </c>
      <c r="H78" t="s">
        <v>2</v>
      </c>
      <c r="I78" s="26">
        <v>4899000</v>
      </c>
      <c r="J78">
        <v>0</v>
      </c>
      <c r="K78">
        <v>1</v>
      </c>
      <c r="L78">
        <f t="shared" si="6"/>
        <v>15</v>
      </c>
      <c r="M78">
        <f t="shared" si="10"/>
        <v>14</v>
      </c>
      <c r="N78">
        <v>104</v>
      </c>
      <c r="O78">
        <v>3699080.5479452051</v>
      </c>
      <c r="P78">
        <f t="shared" si="7"/>
        <v>3699080.55</v>
      </c>
      <c r="Q78" s="16">
        <f t="shared" si="8"/>
        <v>4899000</v>
      </c>
      <c r="R78" s="29" t="s">
        <v>943</v>
      </c>
      <c r="S78" s="7">
        <f t="shared" si="9"/>
        <v>45</v>
      </c>
      <c r="T78" s="7">
        <v>20251231</v>
      </c>
    </row>
    <row r="79" spans="1:20" ht="27.6">
      <c r="A79" t="s">
        <v>815</v>
      </c>
      <c r="B79" s="18" t="s">
        <v>724</v>
      </c>
      <c r="C79" t="s">
        <v>600</v>
      </c>
      <c r="D79" t="s">
        <v>587</v>
      </c>
      <c r="E79" t="s">
        <v>1</v>
      </c>
      <c r="F79" t="s">
        <v>587</v>
      </c>
      <c r="G79" s="21">
        <v>60</v>
      </c>
      <c r="H79" t="s">
        <v>2</v>
      </c>
      <c r="I79" s="26">
        <v>8998000</v>
      </c>
      <c r="J79">
        <v>0</v>
      </c>
      <c r="K79">
        <v>1</v>
      </c>
      <c r="L79">
        <f t="shared" si="6"/>
        <v>16</v>
      </c>
      <c r="M79">
        <f t="shared" si="10"/>
        <v>15</v>
      </c>
      <c r="N79">
        <v>104</v>
      </c>
      <c r="O79">
        <v>6734941.3698630128</v>
      </c>
      <c r="P79">
        <f t="shared" si="7"/>
        <v>6734941.3700000001</v>
      </c>
      <c r="Q79" s="16">
        <f t="shared" si="8"/>
        <v>8998000</v>
      </c>
      <c r="R79" s="29" t="s">
        <v>944</v>
      </c>
      <c r="S79" s="7">
        <f t="shared" si="9"/>
        <v>44</v>
      </c>
      <c r="T79" s="7">
        <v>20251231</v>
      </c>
    </row>
    <row r="80" spans="1:20" ht="27.6">
      <c r="A80" t="s">
        <v>816</v>
      </c>
      <c r="B80" s="18" t="s">
        <v>725</v>
      </c>
      <c r="C80" t="s">
        <v>600</v>
      </c>
      <c r="D80" t="s">
        <v>855</v>
      </c>
      <c r="E80" t="s">
        <v>1</v>
      </c>
      <c r="F80" t="s">
        <v>855</v>
      </c>
      <c r="G80" s="21">
        <v>60</v>
      </c>
      <c r="H80" t="s">
        <v>2</v>
      </c>
      <c r="I80" s="26">
        <v>16443628</v>
      </c>
      <c r="J80">
        <v>0</v>
      </c>
      <c r="K80">
        <v>1</v>
      </c>
      <c r="L80">
        <f t="shared" si="6"/>
        <v>18</v>
      </c>
      <c r="M80">
        <f t="shared" si="10"/>
        <v>17</v>
      </c>
      <c r="N80">
        <v>104</v>
      </c>
      <c r="O80">
        <v>11740299.881643835</v>
      </c>
      <c r="P80">
        <f t="shared" si="7"/>
        <v>11740299.880000001</v>
      </c>
      <c r="Q80" s="16">
        <f t="shared" si="8"/>
        <v>16443628</v>
      </c>
      <c r="R80" s="29" t="s">
        <v>945</v>
      </c>
      <c r="S80" s="7">
        <f t="shared" si="9"/>
        <v>42</v>
      </c>
      <c r="T80" s="7">
        <v>20251231</v>
      </c>
    </row>
    <row r="81" spans="1:20" ht="27.6">
      <c r="A81" t="s">
        <v>817</v>
      </c>
      <c r="B81" s="18" t="s">
        <v>726</v>
      </c>
      <c r="C81" t="s">
        <v>600</v>
      </c>
      <c r="D81" t="s">
        <v>856</v>
      </c>
      <c r="E81" t="s">
        <v>1</v>
      </c>
      <c r="F81" t="s">
        <v>856</v>
      </c>
      <c r="G81" s="21">
        <v>60</v>
      </c>
      <c r="H81" t="s">
        <v>2</v>
      </c>
      <c r="I81" s="26">
        <v>13999000</v>
      </c>
      <c r="J81">
        <v>0</v>
      </c>
      <c r="K81">
        <v>1</v>
      </c>
      <c r="L81">
        <f t="shared" si="6"/>
        <v>27</v>
      </c>
      <c r="M81">
        <f t="shared" si="10"/>
        <v>26</v>
      </c>
      <c r="N81">
        <v>104</v>
      </c>
      <c r="O81">
        <v>7900805.4794520549</v>
      </c>
      <c r="P81">
        <f t="shared" si="7"/>
        <v>7900805.4800000004</v>
      </c>
      <c r="Q81" s="16">
        <f t="shared" si="8"/>
        <v>13999000</v>
      </c>
      <c r="R81" s="29" t="s">
        <v>946</v>
      </c>
      <c r="S81" s="7">
        <f t="shared" si="9"/>
        <v>33</v>
      </c>
      <c r="T81" s="7">
        <v>20251231</v>
      </c>
    </row>
    <row r="82" spans="1:20" ht="27.6">
      <c r="A82" t="s">
        <v>818</v>
      </c>
      <c r="B82" s="18" t="s">
        <v>727</v>
      </c>
      <c r="C82" t="s">
        <v>600</v>
      </c>
      <c r="D82" t="s">
        <v>857</v>
      </c>
      <c r="E82" t="s">
        <v>1</v>
      </c>
      <c r="F82" t="s">
        <v>857</v>
      </c>
      <c r="G82" s="21">
        <v>60</v>
      </c>
      <c r="H82" t="s">
        <v>2</v>
      </c>
      <c r="I82" s="26">
        <v>18896000</v>
      </c>
      <c r="J82">
        <v>0</v>
      </c>
      <c r="K82">
        <v>1</v>
      </c>
      <c r="L82">
        <f t="shared" si="6"/>
        <v>34</v>
      </c>
      <c r="M82">
        <f t="shared" si="10"/>
        <v>33</v>
      </c>
      <c r="N82">
        <v>104</v>
      </c>
      <c r="O82">
        <v>8345301.9178082198</v>
      </c>
      <c r="P82">
        <f t="shared" si="7"/>
        <v>8345301.9199999999</v>
      </c>
      <c r="Q82" s="16">
        <f t="shared" si="8"/>
        <v>18896000</v>
      </c>
      <c r="R82" s="29" t="s">
        <v>947</v>
      </c>
      <c r="S82" s="7">
        <f t="shared" si="9"/>
        <v>26</v>
      </c>
      <c r="T82" s="7">
        <v>20251231</v>
      </c>
    </row>
    <row r="83" spans="1:20" ht="27.6">
      <c r="A83" t="s">
        <v>819</v>
      </c>
      <c r="B83" s="18" t="s">
        <v>728</v>
      </c>
      <c r="C83" t="s">
        <v>600</v>
      </c>
      <c r="D83" t="s">
        <v>858</v>
      </c>
      <c r="E83" t="s">
        <v>1</v>
      </c>
      <c r="F83" t="s">
        <v>858</v>
      </c>
      <c r="G83" s="21">
        <v>60</v>
      </c>
      <c r="H83" t="s">
        <v>2</v>
      </c>
      <c r="I83" s="26">
        <v>18642965</v>
      </c>
      <c r="J83">
        <v>0</v>
      </c>
      <c r="K83">
        <v>1</v>
      </c>
      <c r="L83">
        <f t="shared" si="6"/>
        <v>48</v>
      </c>
      <c r="M83">
        <f t="shared" si="10"/>
        <v>47</v>
      </c>
      <c r="N83">
        <v>104</v>
      </c>
      <c r="O83">
        <v>3810315.5863013696</v>
      </c>
      <c r="P83">
        <f t="shared" si="7"/>
        <v>3810315.59</v>
      </c>
      <c r="Q83" s="16">
        <f t="shared" si="8"/>
        <v>18642965</v>
      </c>
      <c r="R83" s="29" t="s">
        <v>948</v>
      </c>
      <c r="S83" s="7">
        <f t="shared" si="9"/>
        <v>12</v>
      </c>
      <c r="T83" s="7">
        <v>20251231</v>
      </c>
    </row>
    <row r="84" spans="1:20" ht="27.6">
      <c r="A84" t="s">
        <v>820</v>
      </c>
      <c r="B84" s="18" t="s">
        <v>729</v>
      </c>
      <c r="C84" t="s">
        <v>600</v>
      </c>
      <c r="D84" t="s">
        <v>859</v>
      </c>
      <c r="E84" t="s">
        <v>1</v>
      </c>
      <c r="F84" t="s">
        <v>859</v>
      </c>
      <c r="G84" s="21">
        <v>60</v>
      </c>
      <c r="H84" t="s">
        <v>2</v>
      </c>
      <c r="I84" s="26">
        <v>10010000</v>
      </c>
      <c r="J84">
        <v>0</v>
      </c>
      <c r="K84">
        <v>1</v>
      </c>
      <c r="L84">
        <f t="shared" si="6"/>
        <v>50</v>
      </c>
      <c r="M84">
        <f t="shared" si="10"/>
        <v>49</v>
      </c>
      <c r="N84">
        <v>104</v>
      </c>
      <c r="O84">
        <v>1760663.0136986303</v>
      </c>
      <c r="P84">
        <f t="shared" si="7"/>
        <v>1760663.01</v>
      </c>
      <c r="Q84" s="16">
        <f t="shared" si="8"/>
        <v>10010000</v>
      </c>
      <c r="R84" s="29" t="s">
        <v>949</v>
      </c>
      <c r="S84" s="7">
        <f t="shared" si="9"/>
        <v>10</v>
      </c>
      <c r="T84" s="7">
        <v>20251231</v>
      </c>
    </row>
    <row r="85" spans="1:20" ht="27.6">
      <c r="A85" t="s">
        <v>821</v>
      </c>
      <c r="B85" s="35" t="s">
        <v>730</v>
      </c>
      <c r="C85" t="s">
        <v>600</v>
      </c>
      <c r="D85" t="s">
        <v>860</v>
      </c>
      <c r="E85" t="s">
        <v>1</v>
      </c>
      <c r="F85" t="s">
        <v>860</v>
      </c>
      <c r="G85" s="21">
        <v>60</v>
      </c>
      <c r="H85" t="s">
        <v>2</v>
      </c>
      <c r="I85" s="26">
        <v>13167000</v>
      </c>
      <c r="J85">
        <v>0</v>
      </c>
      <c r="K85">
        <v>1</v>
      </c>
      <c r="L85">
        <f t="shared" si="6"/>
        <v>51</v>
      </c>
      <c r="M85">
        <f t="shared" si="10"/>
        <v>50</v>
      </c>
      <c r="N85">
        <v>104</v>
      </c>
      <c r="O85">
        <v>2157223.5616438356</v>
      </c>
      <c r="P85">
        <f t="shared" si="7"/>
        <v>2157223.56</v>
      </c>
      <c r="Q85" s="16">
        <f t="shared" si="8"/>
        <v>13167000</v>
      </c>
      <c r="R85" s="29" t="s">
        <v>950</v>
      </c>
      <c r="S85" s="7">
        <f t="shared" si="9"/>
        <v>9</v>
      </c>
      <c r="T85" s="7">
        <v>20251231</v>
      </c>
    </row>
    <row r="86" spans="1:20" ht="27.6">
      <c r="A86" t="s">
        <v>822</v>
      </c>
      <c r="B86" s="18" t="s">
        <v>731</v>
      </c>
      <c r="C86" t="s">
        <v>600</v>
      </c>
      <c r="D86" t="s">
        <v>861</v>
      </c>
      <c r="E86" t="s">
        <v>1</v>
      </c>
      <c r="F86" t="s">
        <v>861</v>
      </c>
      <c r="G86" s="21">
        <v>60</v>
      </c>
      <c r="H86" t="s">
        <v>2</v>
      </c>
      <c r="I86" s="26">
        <v>1952500</v>
      </c>
      <c r="J86">
        <v>0</v>
      </c>
      <c r="K86">
        <v>1</v>
      </c>
      <c r="L86">
        <f t="shared" si="6"/>
        <v>53</v>
      </c>
      <c r="M86">
        <f t="shared" si="10"/>
        <v>52</v>
      </c>
      <c r="N86">
        <v>104</v>
      </c>
      <c r="O86">
        <v>246068.49315068492</v>
      </c>
      <c r="P86">
        <f t="shared" si="7"/>
        <v>246068.49</v>
      </c>
      <c r="Q86" s="16">
        <f t="shared" si="8"/>
        <v>1952500</v>
      </c>
      <c r="R86" s="29" t="s">
        <v>951</v>
      </c>
      <c r="S86" s="7">
        <f t="shared" si="9"/>
        <v>7</v>
      </c>
      <c r="T86" s="7">
        <v>20251231</v>
      </c>
    </row>
    <row r="87" spans="1:20" ht="27.6">
      <c r="A87" t="s">
        <v>823</v>
      </c>
      <c r="B87" s="18" t="s">
        <v>732</v>
      </c>
      <c r="C87" t="s">
        <v>600</v>
      </c>
      <c r="D87" t="s">
        <v>596</v>
      </c>
      <c r="E87" t="s">
        <v>1</v>
      </c>
      <c r="F87" t="s">
        <v>596</v>
      </c>
      <c r="G87" s="21">
        <v>60</v>
      </c>
      <c r="H87" t="s">
        <v>2</v>
      </c>
      <c r="I87" s="26">
        <v>2805000</v>
      </c>
      <c r="J87">
        <v>0</v>
      </c>
      <c r="K87">
        <v>1</v>
      </c>
      <c r="L87">
        <f t="shared" si="6"/>
        <v>53</v>
      </c>
      <c r="M87">
        <f t="shared" si="10"/>
        <v>52</v>
      </c>
      <c r="N87">
        <v>104</v>
      </c>
      <c r="O87">
        <v>333526.02739726024</v>
      </c>
      <c r="P87">
        <f t="shared" si="7"/>
        <v>333526.03000000003</v>
      </c>
      <c r="Q87" s="16">
        <f t="shared" si="8"/>
        <v>2805000</v>
      </c>
      <c r="R87" s="29" t="s">
        <v>952</v>
      </c>
      <c r="S87" s="7">
        <f t="shared" si="9"/>
        <v>7</v>
      </c>
      <c r="T87" s="7">
        <v>20251231</v>
      </c>
    </row>
    <row r="88" spans="1:20" ht="27.6">
      <c r="A88" t="s">
        <v>824</v>
      </c>
      <c r="B88" s="25" t="s">
        <v>733</v>
      </c>
      <c r="C88" t="s">
        <v>600</v>
      </c>
      <c r="D88" t="s">
        <v>862</v>
      </c>
      <c r="E88" t="s">
        <v>1</v>
      </c>
      <c r="F88" t="s">
        <v>862</v>
      </c>
      <c r="G88" s="21">
        <v>60</v>
      </c>
      <c r="H88" t="s">
        <v>2</v>
      </c>
      <c r="I88" s="27">
        <v>23760000</v>
      </c>
      <c r="J88">
        <v>0</v>
      </c>
      <c r="K88">
        <v>1</v>
      </c>
      <c r="L88">
        <f t="shared" si="6"/>
        <v>54</v>
      </c>
      <c r="M88">
        <f t="shared" si="10"/>
        <v>53</v>
      </c>
      <c r="N88">
        <v>104</v>
      </c>
      <c r="O88">
        <v>2629873.9726027399</v>
      </c>
      <c r="P88">
        <f t="shared" si="7"/>
        <v>2629873.9700000002</v>
      </c>
      <c r="Q88" s="16">
        <f t="shared" si="8"/>
        <v>23760000</v>
      </c>
      <c r="R88" s="29" t="s">
        <v>953</v>
      </c>
      <c r="S88" s="7">
        <f t="shared" si="9"/>
        <v>6</v>
      </c>
      <c r="T88" s="7">
        <v>20251231</v>
      </c>
    </row>
    <row r="89" spans="1:20" ht="27.6">
      <c r="A89" t="s">
        <v>825</v>
      </c>
      <c r="B89" s="25" t="s">
        <v>734</v>
      </c>
      <c r="C89" t="s">
        <v>600</v>
      </c>
      <c r="D89" t="s">
        <v>863</v>
      </c>
      <c r="E89" t="s">
        <v>1</v>
      </c>
      <c r="F89" t="s">
        <v>863</v>
      </c>
      <c r="G89" s="21">
        <v>60</v>
      </c>
      <c r="H89" t="s">
        <v>2</v>
      </c>
      <c r="I89" s="27">
        <v>12442089</v>
      </c>
      <c r="J89">
        <v>0</v>
      </c>
      <c r="K89">
        <v>1</v>
      </c>
      <c r="L89">
        <f t="shared" si="6"/>
        <v>54</v>
      </c>
      <c r="M89">
        <f t="shared" si="10"/>
        <v>53</v>
      </c>
      <c r="N89">
        <v>104</v>
      </c>
      <c r="O89">
        <v>1370334.1857534247</v>
      </c>
      <c r="P89">
        <f t="shared" si="7"/>
        <v>1370334.19</v>
      </c>
      <c r="Q89" s="16">
        <f t="shared" si="8"/>
        <v>12442089</v>
      </c>
      <c r="R89" s="29" t="s">
        <v>954</v>
      </c>
      <c r="S89" s="7">
        <f t="shared" si="9"/>
        <v>6</v>
      </c>
      <c r="T89" s="7">
        <v>20251231</v>
      </c>
    </row>
    <row r="90" spans="1:20" ht="37.200000000000003">
      <c r="A90" t="s">
        <v>826</v>
      </c>
      <c r="B90" s="36" t="s">
        <v>735</v>
      </c>
      <c r="C90" t="s">
        <v>600</v>
      </c>
      <c r="D90" t="s">
        <v>864</v>
      </c>
      <c r="E90" t="s">
        <v>1</v>
      </c>
      <c r="F90" t="s">
        <v>864</v>
      </c>
      <c r="G90" s="21">
        <v>60</v>
      </c>
      <c r="H90" t="s">
        <v>2</v>
      </c>
      <c r="I90" s="27">
        <v>12219900</v>
      </c>
      <c r="J90">
        <v>0</v>
      </c>
      <c r="K90">
        <v>1</v>
      </c>
      <c r="L90">
        <f t="shared" si="6"/>
        <v>55</v>
      </c>
      <c r="M90">
        <f t="shared" si="10"/>
        <v>54</v>
      </c>
      <c r="N90">
        <v>104</v>
      </c>
      <c r="O90">
        <v>1037854.5205479452</v>
      </c>
      <c r="P90">
        <f t="shared" si="7"/>
        <v>1037854.52</v>
      </c>
      <c r="Q90" s="16">
        <f t="shared" si="8"/>
        <v>12219900</v>
      </c>
      <c r="R90" s="29" t="s">
        <v>955</v>
      </c>
      <c r="S90" s="7">
        <f t="shared" si="9"/>
        <v>5</v>
      </c>
      <c r="T90" s="7">
        <v>20251231</v>
      </c>
    </row>
    <row r="91" spans="1:20" ht="27.6">
      <c r="A91" t="s">
        <v>827</v>
      </c>
      <c r="B91" s="37" t="s">
        <v>730</v>
      </c>
      <c r="C91" t="s">
        <v>600</v>
      </c>
      <c r="D91" t="s">
        <v>865</v>
      </c>
      <c r="E91" t="s">
        <v>1</v>
      </c>
      <c r="F91" t="s">
        <v>865</v>
      </c>
      <c r="G91" s="21">
        <v>60</v>
      </c>
      <c r="H91" t="s">
        <v>2</v>
      </c>
      <c r="I91" s="39">
        <v>14410000</v>
      </c>
      <c r="J91">
        <v>0</v>
      </c>
      <c r="K91">
        <v>1</v>
      </c>
      <c r="L91">
        <f t="shared" si="6"/>
        <v>56</v>
      </c>
      <c r="M91">
        <f t="shared" si="10"/>
        <v>55</v>
      </c>
      <c r="N91">
        <v>104</v>
      </c>
      <c r="O91">
        <v>1105424.6575342466</v>
      </c>
      <c r="P91">
        <f t="shared" si="7"/>
        <v>1105424.6599999999</v>
      </c>
      <c r="Q91" s="16">
        <f t="shared" si="8"/>
        <v>14410000</v>
      </c>
      <c r="R91" s="40" t="s">
        <v>956</v>
      </c>
      <c r="S91" s="7">
        <f t="shared" si="9"/>
        <v>4</v>
      </c>
      <c r="T91" s="7">
        <v>20251231</v>
      </c>
    </row>
    <row r="92" spans="1:20" ht="27.6">
      <c r="A92" t="s">
        <v>828</v>
      </c>
      <c r="B92" s="37" t="s">
        <v>736</v>
      </c>
      <c r="C92" t="s">
        <v>600</v>
      </c>
      <c r="D92" t="s">
        <v>865</v>
      </c>
      <c r="E92" t="s">
        <v>1</v>
      </c>
      <c r="F92" t="s">
        <v>865</v>
      </c>
      <c r="G92" s="21">
        <v>60</v>
      </c>
      <c r="H92" t="s">
        <v>2</v>
      </c>
      <c r="I92" s="39">
        <v>8980000</v>
      </c>
      <c r="J92">
        <v>0</v>
      </c>
      <c r="K92">
        <v>1</v>
      </c>
      <c r="L92">
        <f t="shared" si="6"/>
        <v>56</v>
      </c>
      <c r="M92">
        <f t="shared" si="10"/>
        <v>55</v>
      </c>
      <c r="N92">
        <v>104</v>
      </c>
      <c r="O92">
        <v>688876.71232876717</v>
      </c>
      <c r="P92">
        <f t="shared" si="7"/>
        <v>688876.71</v>
      </c>
      <c r="Q92" s="16">
        <f t="shared" si="8"/>
        <v>8980000</v>
      </c>
      <c r="R92" s="40" t="s">
        <v>957</v>
      </c>
      <c r="S92" s="7">
        <f t="shared" si="9"/>
        <v>4</v>
      </c>
      <c r="T92" s="7">
        <v>20251231</v>
      </c>
    </row>
    <row r="93" spans="1:20" ht="27.6">
      <c r="A93" t="s">
        <v>829</v>
      </c>
      <c r="B93" s="37" t="s">
        <v>737</v>
      </c>
      <c r="C93" t="s">
        <v>600</v>
      </c>
      <c r="D93" t="s">
        <v>866</v>
      </c>
      <c r="E93" t="s">
        <v>1</v>
      </c>
      <c r="F93" t="s">
        <v>866</v>
      </c>
      <c r="G93" s="21">
        <v>60</v>
      </c>
      <c r="H93" t="s">
        <v>2</v>
      </c>
      <c r="I93" s="39">
        <v>10675500</v>
      </c>
      <c r="J93">
        <v>0</v>
      </c>
      <c r="K93">
        <v>1</v>
      </c>
      <c r="L93">
        <f t="shared" si="6"/>
        <v>56</v>
      </c>
      <c r="M93">
        <f t="shared" si="10"/>
        <v>55</v>
      </c>
      <c r="N93">
        <v>104</v>
      </c>
      <c r="O93">
        <v>772145.75342465763</v>
      </c>
      <c r="P93">
        <f t="shared" si="7"/>
        <v>772145.75</v>
      </c>
      <c r="Q93" s="16">
        <f t="shared" si="8"/>
        <v>10675500</v>
      </c>
      <c r="R93" s="40" t="s">
        <v>958</v>
      </c>
      <c r="S93" s="7">
        <f t="shared" si="9"/>
        <v>4</v>
      </c>
      <c r="T93" s="7">
        <v>20251231</v>
      </c>
    </row>
    <row r="94" spans="1:20" ht="31.8">
      <c r="R94" s="41"/>
    </row>
  </sheetData>
  <autoFilter ref="A1:T93" xr:uid="{D7087A4F-1267-459C-83AF-C84BE2308243}"/>
  <phoneticPr fontId="6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2817-1121-41C3-A3AD-622DDF0504D2}">
  <dimension ref="A1:T9"/>
  <sheetViews>
    <sheetView zoomScale="90" zoomScaleNormal="90" workbookViewId="0">
      <selection activeCell="P3" sqref="P2:P3"/>
    </sheetView>
  </sheetViews>
  <sheetFormatPr defaultRowHeight="13.8"/>
  <cols>
    <col min="2" max="2" width="30.09765625" customWidth="1"/>
    <col min="4" max="4" width="10.8984375" bestFit="1" customWidth="1"/>
    <col min="5" max="5" width="15.09765625" bestFit="1" customWidth="1"/>
    <col min="6" max="6" width="19.296875" bestFit="1" customWidth="1"/>
    <col min="9" max="9" width="9.8984375" bestFit="1" customWidth="1"/>
    <col min="10" max="10" width="12" bestFit="1" customWidth="1"/>
    <col min="11" max="11" width="12.296875" bestFit="1" customWidth="1"/>
    <col min="12" max="12" width="12.5" bestFit="1" customWidth="1"/>
    <col min="15" max="15" width="23.19921875" bestFit="1" customWidth="1"/>
    <col min="16" max="16" width="11.8984375" bestFit="1" customWidth="1"/>
    <col min="17" max="17" width="9.8984375" bestFit="1" customWidth="1"/>
  </cols>
  <sheetData>
    <row r="1" spans="1:20" s="10" customFormat="1" ht="15.6">
      <c r="A1" s="1" t="s">
        <v>131</v>
      </c>
      <c r="B1" s="1" t="s">
        <v>132</v>
      </c>
      <c r="C1" s="1" t="s">
        <v>133</v>
      </c>
      <c r="D1" s="8" t="s">
        <v>134</v>
      </c>
      <c r="E1" s="1" t="s">
        <v>135</v>
      </c>
      <c r="F1" s="1" t="s">
        <v>136</v>
      </c>
      <c r="G1" s="3" t="s">
        <v>137</v>
      </c>
      <c r="H1" s="1" t="s">
        <v>138</v>
      </c>
      <c r="I1" s="4" t="s">
        <v>139</v>
      </c>
      <c r="J1" s="1" t="s">
        <v>140</v>
      </c>
      <c r="K1" s="1" t="s">
        <v>141</v>
      </c>
      <c r="L1" s="1" t="s">
        <v>142</v>
      </c>
      <c r="M1" s="1"/>
      <c r="N1" s="1" t="s">
        <v>143</v>
      </c>
      <c r="O1" s="5" t="s">
        <v>144</v>
      </c>
      <c r="P1" s="5"/>
      <c r="Q1" s="6" t="s">
        <v>145</v>
      </c>
      <c r="R1" s="9" t="s">
        <v>146</v>
      </c>
    </row>
    <row r="2" spans="1:20" ht="18.600000000000001">
      <c r="A2" t="s">
        <v>967</v>
      </c>
      <c r="B2" s="11" t="s">
        <v>959</v>
      </c>
      <c r="C2" t="s">
        <v>975</v>
      </c>
      <c r="D2" s="19" t="s">
        <v>976</v>
      </c>
      <c r="E2" t="s">
        <v>1</v>
      </c>
      <c r="F2" s="19" t="s">
        <v>976</v>
      </c>
      <c r="G2" s="21">
        <v>60</v>
      </c>
      <c r="H2" t="s">
        <v>2</v>
      </c>
      <c r="I2">
        <v>414377519.03999996</v>
      </c>
      <c r="J2">
        <v>0</v>
      </c>
      <c r="K2">
        <v>1</v>
      </c>
      <c r="L2">
        <f>G2-S2</f>
        <v>-114</v>
      </c>
      <c r="M2">
        <v>0</v>
      </c>
      <c r="N2">
        <v>104</v>
      </c>
      <c r="O2">
        <v>715596178.87013686</v>
      </c>
      <c r="P2">
        <f t="shared" ref="P2:P8" si="0">ROUND(O2, 2)</f>
        <v>715596178.87</v>
      </c>
      <c r="Q2">
        <v>414377519.03999996</v>
      </c>
      <c r="S2" s="7">
        <f>DATEDIF(DATE(LEFT(D2,4),MID(D2,5,2),MID(D2,7,2)), DATE(LEFT(T2,4),MID(T2,5,2),MID(T2,7,2)),"m")</f>
        <v>174</v>
      </c>
      <c r="T2" s="7">
        <v>20251231</v>
      </c>
    </row>
    <row r="3" spans="1:20" ht="18.600000000000001">
      <c r="A3" t="s">
        <v>968</v>
      </c>
      <c r="B3" s="18" t="s">
        <v>960</v>
      </c>
      <c r="C3" t="s">
        <v>975</v>
      </c>
      <c r="D3" s="19" t="s">
        <v>977</v>
      </c>
      <c r="E3" t="s">
        <v>1</v>
      </c>
      <c r="F3" s="19" t="s">
        <v>977</v>
      </c>
      <c r="G3" s="21">
        <v>60</v>
      </c>
      <c r="H3" t="s">
        <v>2</v>
      </c>
      <c r="I3">
        <v>34115196</v>
      </c>
      <c r="J3">
        <v>0</v>
      </c>
      <c r="K3">
        <v>1</v>
      </c>
      <c r="L3">
        <f t="shared" ref="L3:L9" si="1">G3-S3</f>
        <v>-60</v>
      </c>
      <c r="M3">
        <v>0</v>
      </c>
      <c r="N3">
        <v>104</v>
      </c>
      <c r="O3">
        <v>337804001.75342464</v>
      </c>
      <c r="P3">
        <f t="shared" si="0"/>
        <v>337804001.75</v>
      </c>
      <c r="Q3">
        <v>34115196</v>
      </c>
      <c r="S3" s="7">
        <f t="shared" ref="S3:S9" si="2">DATEDIF(DATE(LEFT(D3,4),MID(D3,5,2),MID(D3,7,2)), DATE(LEFT(T3,4),MID(T3,5,2),MID(T3,7,2)),"m")</f>
        <v>120</v>
      </c>
      <c r="T3" s="7">
        <v>20251231</v>
      </c>
    </row>
    <row r="4" spans="1:20" ht="18.600000000000001">
      <c r="A4" t="s">
        <v>969</v>
      </c>
      <c r="B4" s="18" t="s">
        <v>961</v>
      </c>
      <c r="C4" t="s">
        <v>975</v>
      </c>
      <c r="D4" s="19" t="s">
        <v>978</v>
      </c>
      <c r="E4" t="s">
        <v>1</v>
      </c>
      <c r="F4" s="19" t="s">
        <v>978</v>
      </c>
      <c r="G4" s="21">
        <v>60</v>
      </c>
      <c r="H4" t="s">
        <v>2</v>
      </c>
      <c r="I4">
        <v>460927500</v>
      </c>
      <c r="J4">
        <v>0</v>
      </c>
      <c r="K4">
        <v>1</v>
      </c>
      <c r="L4">
        <f t="shared" si="1"/>
        <v>-10</v>
      </c>
      <c r="M4">
        <v>0</v>
      </c>
      <c r="N4">
        <v>104</v>
      </c>
      <c r="O4">
        <v>117437149.15506849</v>
      </c>
      <c r="P4">
        <f t="shared" si="0"/>
        <v>117437149.16</v>
      </c>
      <c r="Q4">
        <v>460927500</v>
      </c>
      <c r="S4" s="7">
        <f t="shared" si="2"/>
        <v>70</v>
      </c>
      <c r="T4" s="7">
        <v>20251231</v>
      </c>
    </row>
    <row r="5" spans="1:20" ht="18.600000000000001">
      <c r="A5" t="s">
        <v>970</v>
      </c>
      <c r="B5" s="18" t="s">
        <v>962</v>
      </c>
      <c r="C5" t="s">
        <v>975</v>
      </c>
      <c r="D5" s="19" t="s">
        <v>575</v>
      </c>
      <c r="E5" t="s">
        <v>1</v>
      </c>
      <c r="F5" s="19" t="s">
        <v>575</v>
      </c>
      <c r="G5" s="21">
        <v>60</v>
      </c>
      <c r="H5" t="s">
        <v>2</v>
      </c>
      <c r="I5">
        <v>183026610</v>
      </c>
      <c r="J5">
        <v>0</v>
      </c>
      <c r="K5">
        <v>1</v>
      </c>
      <c r="L5">
        <f t="shared" si="1"/>
        <v>-35</v>
      </c>
      <c r="M5">
        <v>0</v>
      </c>
      <c r="N5">
        <v>104</v>
      </c>
      <c r="O5">
        <v>215162079.61753425</v>
      </c>
      <c r="P5">
        <f t="shared" si="0"/>
        <v>215162079.62</v>
      </c>
      <c r="Q5">
        <v>183026610</v>
      </c>
      <c r="S5" s="7">
        <f t="shared" si="2"/>
        <v>95</v>
      </c>
      <c r="T5" s="7">
        <v>20251231</v>
      </c>
    </row>
    <row r="6" spans="1:20" ht="18.600000000000001">
      <c r="A6" t="s">
        <v>971</v>
      </c>
      <c r="B6" s="18" t="s">
        <v>963</v>
      </c>
      <c r="C6" t="s">
        <v>975</v>
      </c>
      <c r="D6" s="19" t="s">
        <v>575</v>
      </c>
      <c r="E6" t="s">
        <v>1</v>
      </c>
      <c r="F6" s="19" t="s">
        <v>575</v>
      </c>
      <c r="G6" s="21">
        <v>60</v>
      </c>
      <c r="H6" t="s">
        <v>2</v>
      </c>
      <c r="I6">
        <v>427062090</v>
      </c>
      <c r="J6">
        <v>0</v>
      </c>
      <c r="K6">
        <v>1</v>
      </c>
      <c r="L6">
        <f t="shared" si="1"/>
        <v>-35</v>
      </c>
      <c r="M6">
        <v>0</v>
      </c>
      <c r="N6">
        <v>104</v>
      </c>
      <c r="O6">
        <v>215162079.61753425</v>
      </c>
      <c r="P6">
        <f t="shared" si="0"/>
        <v>215162079.62</v>
      </c>
      <c r="Q6">
        <v>427062090</v>
      </c>
      <c r="S6" s="7">
        <f t="shared" si="2"/>
        <v>95</v>
      </c>
      <c r="T6" s="7">
        <v>20251231</v>
      </c>
    </row>
    <row r="7" spans="1:20" ht="18.600000000000001">
      <c r="A7" t="s">
        <v>972</v>
      </c>
      <c r="B7" s="18" t="s">
        <v>964</v>
      </c>
      <c r="C7" t="s">
        <v>975</v>
      </c>
      <c r="D7" s="19" t="s">
        <v>978</v>
      </c>
      <c r="E7" t="s">
        <v>1</v>
      </c>
      <c r="F7" s="19" t="s">
        <v>978</v>
      </c>
      <c r="G7" s="21">
        <v>60</v>
      </c>
      <c r="H7" t="s">
        <v>2</v>
      </c>
      <c r="I7">
        <v>12540000</v>
      </c>
      <c r="J7">
        <v>0</v>
      </c>
      <c r="K7">
        <v>1</v>
      </c>
      <c r="L7">
        <f t="shared" si="1"/>
        <v>-10</v>
      </c>
      <c r="M7">
        <v>0</v>
      </c>
      <c r="N7">
        <v>104</v>
      </c>
      <c r="O7">
        <v>117437149.15506849</v>
      </c>
      <c r="P7">
        <f t="shared" si="0"/>
        <v>117437149.16</v>
      </c>
      <c r="Q7">
        <v>12540000</v>
      </c>
      <c r="S7" s="7">
        <f t="shared" si="2"/>
        <v>70</v>
      </c>
      <c r="T7" s="7">
        <v>20251231</v>
      </c>
    </row>
    <row r="8" spans="1:20" ht="18.600000000000001">
      <c r="A8" t="s">
        <v>973</v>
      </c>
      <c r="B8" s="18" t="s">
        <v>965</v>
      </c>
      <c r="C8" t="s">
        <v>975</v>
      </c>
      <c r="D8" s="19" t="s">
        <v>979</v>
      </c>
      <c r="E8" t="s">
        <v>1</v>
      </c>
      <c r="F8" s="19" t="s">
        <v>979</v>
      </c>
      <c r="G8" s="21">
        <v>60</v>
      </c>
      <c r="H8" t="s">
        <v>2</v>
      </c>
      <c r="I8">
        <v>24500000</v>
      </c>
      <c r="J8">
        <v>0</v>
      </c>
      <c r="K8">
        <v>1</v>
      </c>
      <c r="L8">
        <f t="shared" si="1"/>
        <v>25</v>
      </c>
      <c r="M8">
        <f>L8-1</f>
        <v>24</v>
      </c>
      <c r="N8">
        <v>104</v>
      </c>
      <c r="O8">
        <f>I8</f>
        <v>24500000</v>
      </c>
      <c r="P8">
        <f t="shared" si="0"/>
        <v>24500000</v>
      </c>
      <c r="Q8">
        <v>24500000</v>
      </c>
      <c r="S8" s="7">
        <f t="shared" si="2"/>
        <v>35</v>
      </c>
      <c r="T8" s="7">
        <v>20251231</v>
      </c>
    </row>
    <row r="9" spans="1:20" ht="18.600000000000001">
      <c r="A9" t="s">
        <v>974</v>
      </c>
      <c r="B9" s="18" t="s">
        <v>966</v>
      </c>
      <c r="C9" t="s">
        <v>975</v>
      </c>
      <c r="D9" s="19" t="s">
        <v>979</v>
      </c>
      <c r="E9" t="s">
        <v>1</v>
      </c>
      <c r="F9" s="19" t="s">
        <v>979</v>
      </c>
      <c r="G9" s="21">
        <v>60</v>
      </c>
      <c r="H9" t="s">
        <v>2</v>
      </c>
      <c r="I9">
        <v>24500000</v>
      </c>
      <c r="J9">
        <v>0</v>
      </c>
      <c r="K9">
        <v>1</v>
      </c>
      <c r="L9">
        <f t="shared" si="1"/>
        <v>25</v>
      </c>
      <c r="M9">
        <f>L9-1</f>
        <v>24</v>
      </c>
      <c r="N9">
        <v>104</v>
      </c>
      <c r="O9">
        <f>I9</f>
        <v>24500000</v>
      </c>
      <c r="P9">
        <f>ROUND(O9, 2)</f>
        <v>24500000</v>
      </c>
      <c r="Q9">
        <v>24500000</v>
      </c>
      <c r="S9" s="7">
        <f t="shared" si="2"/>
        <v>35</v>
      </c>
      <c r="T9" s="7">
        <v>20251231</v>
      </c>
    </row>
  </sheetData>
  <phoneticPr fontId="6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373E-BD84-425E-9125-6CF9DAA1F299}">
  <dimension ref="A1:T10"/>
  <sheetViews>
    <sheetView zoomScale="85" zoomScaleNormal="85" workbookViewId="0">
      <selection activeCell="B28" sqref="B28"/>
    </sheetView>
  </sheetViews>
  <sheetFormatPr defaultRowHeight="13.8"/>
  <cols>
    <col min="2" max="2" width="54.3984375" customWidth="1"/>
    <col min="3" max="3" width="8.796875" customWidth="1"/>
    <col min="5" max="5" width="15.09765625" bestFit="1" customWidth="1"/>
    <col min="9" max="9" width="14.796875" bestFit="1" customWidth="1"/>
    <col min="10" max="10" width="12" bestFit="1" customWidth="1"/>
    <col min="11" max="11" width="12.296875" bestFit="1" customWidth="1"/>
    <col min="12" max="12" width="13.296875" bestFit="1" customWidth="1"/>
    <col min="14" max="14" width="10.296875" bestFit="1" customWidth="1"/>
    <col min="15" max="15" width="25" bestFit="1" customWidth="1"/>
    <col min="16" max="16" width="12" bestFit="1" customWidth="1"/>
    <col min="17" max="17" width="13.19921875" bestFit="1" customWidth="1"/>
    <col min="18" max="18" width="32.796875" style="49" bestFit="1" customWidth="1"/>
    <col min="20" max="20" width="9.8984375" bestFit="1" customWidth="1"/>
  </cols>
  <sheetData>
    <row r="1" spans="1:20" s="10" customFormat="1" ht="15.6">
      <c r="A1" s="1" t="s">
        <v>131</v>
      </c>
      <c r="B1" s="1" t="s">
        <v>132</v>
      </c>
      <c r="C1" s="1" t="s">
        <v>133</v>
      </c>
      <c r="D1" s="8" t="s">
        <v>134</v>
      </c>
      <c r="E1" s="1" t="s">
        <v>135</v>
      </c>
      <c r="F1" s="1" t="s">
        <v>136</v>
      </c>
      <c r="G1" s="3" t="s">
        <v>137</v>
      </c>
      <c r="H1" s="1" t="s">
        <v>138</v>
      </c>
      <c r="I1" s="4" t="s">
        <v>139</v>
      </c>
      <c r="J1" s="1" t="s">
        <v>140</v>
      </c>
      <c r="K1" s="1" t="s">
        <v>141</v>
      </c>
      <c r="L1" s="1" t="s">
        <v>142</v>
      </c>
      <c r="M1" s="1"/>
      <c r="N1" s="1" t="s">
        <v>143</v>
      </c>
      <c r="O1" s="5" t="s">
        <v>144</v>
      </c>
      <c r="P1" s="5"/>
      <c r="Q1" s="6" t="s">
        <v>145</v>
      </c>
      <c r="R1" s="46" t="s">
        <v>146</v>
      </c>
    </row>
    <row r="2" spans="1:20" ht="18.600000000000001">
      <c r="A2" t="s">
        <v>1005</v>
      </c>
      <c r="B2" s="11" t="s">
        <v>984</v>
      </c>
      <c r="C2" t="s">
        <v>987</v>
      </c>
      <c r="D2" t="s">
        <v>988</v>
      </c>
      <c r="E2" t="s">
        <v>1</v>
      </c>
      <c r="F2" t="str">
        <f>D2</f>
        <v>20180907</v>
      </c>
      <c r="G2" s="21">
        <v>60</v>
      </c>
      <c r="H2" t="s">
        <v>2</v>
      </c>
      <c r="I2" s="22">
        <v>25000000</v>
      </c>
      <c r="J2">
        <v>0</v>
      </c>
      <c r="K2">
        <v>1</v>
      </c>
      <c r="L2">
        <f>G2-S2</f>
        <v>-27</v>
      </c>
      <c r="M2">
        <v>0</v>
      </c>
      <c r="N2">
        <v>104</v>
      </c>
      <c r="O2" s="16">
        <f>I2</f>
        <v>25000000</v>
      </c>
      <c r="P2" s="16">
        <f>I2</f>
        <v>25000000</v>
      </c>
      <c r="Q2" s="16">
        <f>I2</f>
        <v>25000000</v>
      </c>
      <c r="R2" s="46"/>
      <c r="S2" s="7">
        <f>DATEDIF(DATE(LEFT(D2,4),MID(D2,5,2),MID(D2,7,2)), DATE(LEFT(T2,4),MID(T2,5,2),MID(T2,7,2)),"m")</f>
        <v>87</v>
      </c>
      <c r="T2" s="7">
        <v>20251231</v>
      </c>
    </row>
    <row r="3" spans="1:20" ht="18.600000000000001">
      <c r="A3" t="s">
        <v>1006</v>
      </c>
      <c r="B3" s="11" t="s">
        <v>984</v>
      </c>
      <c r="C3" t="s">
        <v>995</v>
      </c>
      <c r="D3" t="s">
        <v>988</v>
      </c>
      <c r="E3" t="s">
        <v>1</v>
      </c>
      <c r="F3" t="str">
        <f t="shared" ref="F3:F10" si="0">D3</f>
        <v>20180907</v>
      </c>
      <c r="G3" s="21">
        <v>60</v>
      </c>
      <c r="H3" t="s">
        <v>2</v>
      </c>
      <c r="I3" s="22">
        <v>25000000</v>
      </c>
      <c r="J3">
        <v>0</v>
      </c>
      <c r="K3">
        <v>1</v>
      </c>
      <c r="L3">
        <f t="shared" ref="L3:L10" si="1">G3-S3</f>
        <v>-27</v>
      </c>
      <c r="M3">
        <v>0</v>
      </c>
      <c r="N3">
        <v>104</v>
      </c>
      <c r="O3" s="16">
        <f t="shared" ref="O3:O6" si="2">I3</f>
        <v>25000000</v>
      </c>
      <c r="P3" s="16">
        <f t="shared" ref="P3:P6" si="3">I3</f>
        <v>25000000</v>
      </c>
      <c r="Q3" s="16">
        <f t="shared" ref="Q3:Q10" si="4">I3</f>
        <v>25000000</v>
      </c>
      <c r="R3" s="47"/>
      <c r="S3" s="7">
        <f t="shared" ref="S3:S10" si="5">DATEDIF(DATE(LEFT(D3,4),MID(D3,5,2),MID(D3,7,2)), DATE(LEFT(T3,4),MID(T3,5,2),MID(T3,7,2)),"m")</f>
        <v>87</v>
      </c>
      <c r="T3" s="7">
        <v>20251232</v>
      </c>
    </row>
    <row r="4" spans="1:20" ht="18.600000000000001">
      <c r="A4" t="s">
        <v>1007</v>
      </c>
      <c r="B4" s="11" t="s">
        <v>984</v>
      </c>
      <c r="C4" t="s">
        <v>996</v>
      </c>
      <c r="D4" t="s">
        <v>989</v>
      </c>
      <c r="E4" t="s">
        <v>1</v>
      </c>
      <c r="F4" t="str">
        <f t="shared" si="0"/>
        <v>20190620</v>
      </c>
      <c r="G4" s="21">
        <v>60</v>
      </c>
      <c r="H4" t="s">
        <v>2</v>
      </c>
      <c r="I4" s="22">
        <v>3600000</v>
      </c>
      <c r="J4">
        <v>0</v>
      </c>
      <c r="K4">
        <v>1</v>
      </c>
      <c r="L4">
        <f t="shared" si="1"/>
        <v>-18</v>
      </c>
      <c r="M4">
        <v>0</v>
      </c>
      <c r="N4">
        <v>104</v>
      </c>
      <c r="O4" s="16">
        <f t="shared" si="2"/>
        <v>3600000</v>
      </c>
      <c r="P4" s="16">
        <f t="shared" si="3"/>
        <v>3600000</v>
      </c>
      <c r="Q4" s="16">
        <f t="shared" si="4"/>
        <v>3600000</v>
      </c>
      <c r="R4" s="47"/>
      <c r="S4" s="7">
        <f t="shared" si="5"/>
        <v>78</v>
      </c>
      <c r="T4" s="7">
        <v>20251233</v>
      </c>
    </row>
    <row r="5" spans="1:20" ht="18.600000000000001">
      <c r="A5" t="s">
        <v>1008</v>
      </c>
      <c r="B5" s="11" t="s">
        <v>984</v>
      </c>
      <c r="C5" t="s">
        <v>997</v>
      </c>
      <c r="D5" t="s">
        <v>990</v>
      </c>
      <c r="E5" t="s">
        <v>1</v>
      </c>
      <c r="F5" t="str">
        <f t="shared" si="0"/>
        <v>20100208</v>
      </c>
      <c r="G5" s="21">
        <v>60</v>
      </c>
      <c r="H5" t="s">
        <v>2</v>
      </c>
      <c r="I5" s="22">
        <v>7209329.2800000003</v>
      </c>
      <c r="J5">
        <v>0</v>
      </c>
      <c r="K5">
        <v>1</v>
      </c>
      <c r="L5">
        <f t="shared" si="1"/>
        <v>-130</v>
      </c>
      <c r="M5">
        <v>0</v>
      </c>
      <c r="N5">
        <v>104</v>
      </c>
      <c r="O5" s="16">
        <f t="shared" si="2"/>
        <v>7209329.2800000003</v>
      </c>
      <c r="P5" s="16">
        <f t="shared" si="3"/>
        <v>7209329.2800000003</v>
      </c>
      <c r="Q5" s="16">
        <f t="shared" si="4"/>
        <v>7209329.2800000003</v>
      </c>
      <c r="R5" s="47"/>
      <c r="S5" s="7">
        <f t="shared" si="5"/>
        <v>190</v>
      </c>
      <c r="T5" s="7">
        <v>20251234</v>
      </c>
    </row>
    <row r="6" spans="1:20" ht="18.600000000000001">
      <c r="A6" t="s">
        <v>1009</v>
      </c>
      <c r="B6" s="11" t="s">
        <v>984</v>
      </c>
      <c r="C6" t="s">
        <v>998</v>
      </c>
      <c r="D6" t="s">
        <v>991</v>
      </c>
      <c r="E6" t="s">
        <v>1</v>
      </c>
      <c r="F6" t="str">
        <f t="shared" si="0"/>
        <v>20190315</v>
      </c>
      <c r="G6" s="21">
        <v>60</v>
      </c>
      <c r="H6" t="s">
        <v>2</v>
      </c>
      <c r="I6" s="22">
        <v>2686020.5032618805</v>
      </c>
      <c r="J6">
        <v>0</v>
      </c>
      <c r="K6">
        <v>1</v>
      </c>
      <c r="L6">
        <f t="shared" si="1"/>
        <v>-21</v>
      </c>
      <c r="M6">
        <v>0</v>
      </c>
      <c r="N6">
        <v>104</v>
      </c>
      <c r="O6" s="16">
        <f t="shared" si="2"/>
        <v>2686020.5032618805</v>
      </c>
      <c r="P6" s="16">
        <f t="shared" si="3"/>
        <v>2686020.5032618805</v>
      </c>
      <c r="Q6" s="16">
        <f t="shared" si="4"/>
        <v>2686020.5032618805</v>
      </c>
      <c r="R6" s="47"/>
      <c r="S6" s="7">
        <f t="shared" si="5"/>
        <v>81</v>
      </c>
      <c r="T6" s="7">
        <v>20251235</v>
      </c>
    </row>
    <row r="7" spans="1:20" ht="18.600000000000001">
      <c r="A7" t="s">
        <v>1010</v>
      </c>
      <c r="B7" s="11" t="s">
        <v>984</v>
      </c>
      <c r="C7" t="s">
        <v>999</v>
      </c>
      <c r="D7" t="s">
        <v>992</v>
      </c>
      <c r="E7" t="s">
        <v>1</v>
      </c>
      <c r="F7" t="str">
        <f t="shared" si="0"/>
        <v>20211220</v>
      </c>
      <c r="G7" s="21">
        <v>60</v>
      </c>
      <c r="H7" t="s">
        <v>2</v>
      </c>
      <c r="I7" s="22">
        <v>11136706.135629715</v>
      </c>
      <c r="J7">
        <v>0</v>
      </c>
      <c r="K7">
        <v>1</v>
      </c>
      <c r="L7">
        <f t="shared" si="1"/>
        <v>12</v>
      </c>
      <c r="M7">
        <f>L7-1</f>
        <v>11</v>
      </c>
      <c r="N7">
        <v>104</v>
      </c>
      <c r="O7">
        <v>8982592.5652859956</v>
      </c>
      <c r="P7">
        <f t="shared" ref="P7:P8" si="6">ROUND(O7, 2)</f>
        <v>8982592.5700000003</v>
      </c>
      <c r="Q7" s="16">
        <f t="shared" si="4"/>
        <v>11136706.135629715</v>
      </c>
      <c r="R7" s="47"/>
      <c r="S7" s="7">
        <f t="shared" si="5"/>
        <v>48</v>
      </c>
      <c r="T7" s="7">
        <v>20251236</v>
      </c>
    </row>
    <row r="8" spans="1:20" ht="18.600000000000001">
      <c r="A8" t="s">
        <v>1011</v>
      </c>
      <c r="B8" s="18" t="s">
        <v>986</v>
      </c>
      <c r="C8" t="s">
        <v>1000</v>
      </c>
      <c r="D8" t="s">
        <v>993</v>
      </c>
      <c r="E8" t="s">
        <v>1</v>
      </c>
      <c r="F8" t="str">
        <f t="shared" si="0"/>
        <v>20240913</v>
      </c>
      <c r="G8" s="21">
        <v>60</v>
      </c>
      <c r="H8" t="s">
        <v>2</v>
      </c>
      <c r="I8" s="22">
        <v>38790710</v>
      </c>
      <c r="J8">
        <v>0</v>
      </c>
      <c r="K8">
        <v>1</v>
      </c>
      <c r="L8">
        <f t="shared" si="1"/>
        <v>45</v>
      </c>
      <c r="M8">
        <f t="shared" ref="M8:M10" si="7">L8-1</f>
        <v>44</v>
      </c>
      <c r="N8">
        <v>104</v>
      </c>
      <c r="O8">
        <v>10074957.008219179</v>
      </c>
      <c r="P8">
        <f t="shared" si="6"/>
        <v>10074957.01</v>
      </c>
      <c r="Q8" s="16">
        <f t="shared" si="4"/>
        <v>38790710</v>
      </c>
      <c r="R8" s="47" t="s">
        <v>1003</v>
      </c>
      <c r="S8" s="7">
        <f t="shared" si="5"/>
        <v>15</v>
      </c>
      <c r="T8" s="7">
        <v>20251237</v>
      </c>
    </row>
    <row r="9" spans="1:20" ht="18.600000000000001">
      <c r="A9" t="s">
        <v>1012</v>
      </c>
      <c r="B9" s="18" t="s">
        <v>986</v>
      </c>
      <c r="C9" t="s">
        <v>1001</v>
      </c>
      <c r="D9" t="s">
        <v>993</v>
      </c>
      <c r="E9" t="s">
        <v>1</v>
      </c>
      <c r="F9" t="str">
        <f t="shared" si="0"/>
        <v>20240913</v>
      </c>
      <c r="G9" s="21">
        <v>60</v>
      </c>
      <c r="H9" t="s">
        <v>2</v>
      </c>
      <c r="I9" s="22">
        <v>39790710.002999999</v>
      </c>
      <c r="J9">
        <v>0</v>
      </c>
      <c r="K9">
        <v>1</v>
      </c>
      <c r="L9">
        <f t="shared" si="1"/>
        <v>45</v>
      </c>
      <c r="M9">
        <f t="shared" si="7"/>
        <v>44</v>
      </c>
      <c r="N9">
        <v>104</v>
      </c>
      <c r="O9">
        <v>10334683.036395615</v>
      </c>
      <c r="P9">
        <f>ROUND(O9, 2)</f>
        <v>10334683.039999999</v>
      </c>
      <c r="Q9" s="16">
        <f t="shared" si="4"/>
        <v>39790710.002999999</v>
      </c>
      <c r="R9" s="47" t="s">
        <v>1004</v>
      </c>
      <c r="S9" s="7">
        <f t="shared" si="5"/>
        <v>15</v>
      </c>
      <c r="T9" s="7">
        <v>20251238</v>
      </c>
    </row>
    <row r="10" spans="1:20" ht="18.600000000000001">
      <c r="A10" t="s">
        <v>1013</v>
      </c>
      <c r="B10" s="12" t="s">
        <v>340</v>
      </c>
      <c r="C10" t="s">
        <v>1002</v>
      </c>
      <c r="D10" t="s">
        <v>994</v>
      </c>
      <c r="E10" t="s">
        <v>1</v>
      </c>
      <c r="F10" t="str">
        <f t="shared" si="0"/>
        <v>20250923</v>
      </c>
      <c r="G10" s="21">
        <v>60</v>
      </c>
      <c r="H10" t="s">
        <v>2</v>
      </c>
      <c r="I10" s="45">
        <v>189384800</v>
      </c>
      <c r="J10">
        <v>0</v>
      </c>
      <c r="K10">
        <v>1</v>
      </c>
      <c r="L10">
        <f t="shared" si="1"/>
        <v>57</v>
      </c>
      <c r="M10">
        <f t="shared" si="7"/>
        <v>56</v>
      </c>
      <c r="N10">
        <v>104</v>
      </c>
      <c r="O10">
        <v>10273476.82191781</v>
      </c>
      <c r="P10">
        <f>ROUND(O10, 2)</f>
        <v>10273476.82</v>
      </c>
      <c r="Q10" s="16">
        <f t="shared" si="4"/>
        <v>189384800</v>
      </c>
      <c r="R10" s="48" t="s">
        <v>683</v>
      </c>
      <c r="S10" s="7">
        <f t="shared" si="5"/>
        <v>3</v>
      </c>
      <c r="T10" s="7">
        <v>20251239</v>
      </c>
    </row>
  </sheetData>
  <phoneticPr fontId="6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5079-BC19-4EB7-956C-043EF1EE035C}">
  <dimension ref="A1:P8"/>
  <sheetViews>
    <sheetView zoomScale="90" zoomScaleNormal="90" workbookViewId="0">
      <selection activeCell="O4" sqref="O4"/>
    </sheetView>
  </sheetViews>
  <sheetFormatPr defaultRowHeight="13.8"/>
  <cols>
    <col min="2" max="2" width="60.09765625" customWidth="1"/>
    <col min="3" max="3" width="11.69921875" bestFit="1" customWidth="1"/>
    <col min="9" max="9" width="13.8984375" bestFit="1" customWidth="1"/>
    <col min="14" max="14" width="12" bestFit="1" customWidth="1"/>
    <col min="16" max="16" width="16.3984375" bestFit="1" customWidth="1"/>
  </cols>
  <sheetData>
    <row r="1" spans="1:16" ht="27.6">
      <c r="A1" t="s">
        <v>1005</v>
      </c>
      <c r="B1" t="s">
        <v>984</v>
      </c>
      <c r="C1" t="s">
        <v>1014</v>
      </c>
      <c r="D1" t="s">
        <v>988</v>
      </c>
      <c r="E1" t="s">
        <v>1</v>
      </c>
      <c r="F1" t="s">
        <v>988</v>
      </c>
      <c r="G1">
        <v>60</v>
      </c>
      <c r="H1" t="s">
        <v>2</v>
      </c>
      <c r="I1" s="22">
        <v>25000000</v>
      </c>
      <c r="J1">
        <v>0</v>
      </c>
      <c r="K1">
        <v>1</v>
      </c>
      <c r="L1">
        <v>0</v>
      </c>
      <c r="M1">
        <v>118</v>
      </c>
      <c r="N1">
        <v>25000000</v>
      </c>
      <c r="O1">
        <v>25000000</v>
      </c>
      <c r="P1" s="28"/>
    </row>
    <row r="2" spans="1:16" ht="27.6">
      <c r="A2" t="s">
        <v>1007</v>
      </c>
      <c r="B2" t="s">
        <v>984</v>
      </c>
      <c r="C2" t="s">
        <v>1014</v>
      </c>
      <c r="D2" t="s">
        <v>989</v>
      </c>
      <c r="E2" t="s">
        <v>1</v>
      </c>
      <c r="F2" t="s">
        <v>989</v>
      </c>
      <c r="G2">
        <v>60</v>
      </c>
      <c r="H2" t="s">
        <v>2</v>
      </c>
      <c r="I2" s="22">
        <v>3600000</v>
      </c>
      <c r="J2">
        <v>0</v>
      </c>
      <c r="K2">
        <v>1</v>
      </c>
      <c r="L2">
        <v>0</v>
      </c>
      <c r="M2">
        <v>118</v>
      </c>
      <c r="N2">
        <v>3600000</v>
      </c>
      <c r="O2">
        <v>3600000</v>
      </c>
      <c r="P2" s="28"/>
    </row>
    <row r="3" spans="1:16" ht="27.6">
      <c r="A3" t="s">
        <v>1008</v>
      </c>
      <c r="B3" t="s">
        <v>984</v>
      </c>
      <c r="C3" t="s">
        <v>1014</v>
      </c>
      <c r="D3" t="s">
        <v>990</v>
      </c>
      <c r="E3" t="s">
        <v>1</v>
      </c>
      <c r="F3" t="s">
        <v>990</v>
      </c>
      <c r="G3">
        <v>60</v>
      </c>
      <c r="H3" t="s">
        <v>2</v>
      </c>
      <c r="I3" s="22">
        <v>7209329.2800000003</v>
      </c>
      <c r="J3">
        <v>0</v>
      </c>
      <c r="K3">
        <v>1</v>
      </c>
      <c r="L3">
        <v>0</v>
      </c>
      <c r="M3">
        <v>118</v>
      </c>
      <c r="N3">
        <v>7209329.2800000003</v>
      </c>
      <c r="O3">
        <v>7209329.2800000003</v>
      </c>
      <c r="P3" s="28"/>
    </row>
    <row r="4" spans="1:16" ht="27.6">
      <c r="A4" t="s">
        <v>1009</v>
      </c>
      <c r="B4" t="s">
        <v>984</v>
      </c>
      <c r="C4" t="s">
        <v>1014</v>
      </c>
      <c r="D4" t="s">
        <v>991</v>
      </c>
      <c r="E4" t="s">
        <v>1</v>
      </c>
      <c r="F4" t="s">
        <v>991</v>
      </c>
      <c r="G4">
        <v>60</v>
      </c>
      <c r="H4" t="s">
        <v>2</v>
      </c>
      <c r="I4" s="22">
        <v>2686020.5</v>
      </c>
      <c r="J4">
        <v>0</v>
      </c>
      <c r="K4">
        <v>1</v>
      </c>
      <c r="L4">
        <v>0</v>
      </c>
      <c r="M4">
        <v>118</v>
      </c>
      <c r="N4">
        <v>2686020.5</v>
      </c>
      <c r="O4">
        <v>2686020.5</v>
      </c>
      <c r="P4" s="28"/>
    </row>
    <row r="5" spans="1:16" ht="27.6">
      <c r="A5" t="s">
        <v>1010</v>
      </c>
      <c r="B5" t="s">
        <v>984</v>
      </c>
      <c r="C5" t="s">
        <v>1014</v>
      </c>
      <c r="D5" t="s">
        <v>992</v>
      </c>
      <c r="E5" t="s">
        <v>1</v>
      </c>
      <c r="F5" t="s">
        <v>992</v>
      </c>
      <c r="G5">
        <v>60</v>
      </c>
      <c r="H5" t="s">
        <v>2</v>
      </c>
      <c r="I5" s="22">
        <v>11136706.135629715</v>
      </c>
      <c r="J5">
        <v>0</v>
      </c>
      <c r="K5">
        <v>1</v>
      </c>
      <c r="L5">
        <v>11</v>
      </c>
      <c r="M5">
        <v>118</v>
      </c>
      <c r="N5">
        <v>8982592.5700000003</v>
      </c>
      <c r="O5">
        <v>11136706.135629715</v>
      </c>
      <c r="P5" s="28"/>
    </row>
    <row r="6" spans="1:16" ht="27.6">
      <c r="A6" t="s">
        <v>1011</v>
      </c>
      <c r="B6" t="s">
        <v>986</v>
      </c>
      <c r="C6" t="s">
        <v>1014</v>
      </c>
      <c r="D6" t="s">
        <v>993</v>
      </c>
      <c r="E6" t="s">
        <v>1</v>
      </c>
      <c r="F6" t="s">
        <v>993</v>
      </c>
      <c r="G6">
        <v>60</v>
      </c>
      <c r="H6" t="s">
        <v>2</v>
      </c>
      <c r="I6" s="22">
        <v>38790710</v>
      </c>
      <c r="J6">
        <v>0</v>
      </c>
      <c r="K6">
        <v>1</v>
      </c>
      <c r="L6">
        <v>44</v>
      </c>
      <c r="M6">
        <v>118</v>
      </c>
      <c r="N6">
        <v>10074957.01</v>
      </c>
      <c r="O6">
        <v>38790710</v>
      </c>
      <c r="P6" s="28" t="s">
        <v>1003</v>
      </c>
    </row>
    <row r="7" spans="1:16" ht="27.6">
      <c r="A7" t="s">
        <v>1012</v>
      </c>
      <c r="B7" t="s">
        <v>986</v>
      </c>
      <c r="C7" t="s">
        <v>1014</v>
      </c>
      <c r="D7" t="s">
        <v>993</v>
      </c>
      <c r="E7" t="s">
        <v>1</v>
      </c>
      <c r="F7" t="s">
        <v>993</v>
      </c>
      <c r="G7">
        <v>60</v>
      </c>
      <c r="H7" t="s">
        <v>2</v>
      </c>
      <c r="I7" s="22">
        <v>39790710.002999999</v>
      </c>
      <c r="J7">
        <v>0</v>
      </c>
      <c r="K7">
        <v>1</v>
      </c>
      <c r="L7">
        <v>44</v>
      </c>
      <c r="M7">
        <v>118</v>
      </c>
      <c r="N7">
        <v>10334683.039999999</v>
      </c>
      <c r="O7">
        <v>39790710.002999999</v>
      </c>
      <c r="P7" s="28" t="s">
        <v>1004</v>
      </c>
    </row>
    <row r="8" spans="1:16" ht="31.8">
      <c r="A8" t="s">
        <v>1013</v>
      </c>
      <c r="B8" t="s">
        <v>340</v>
      </c>
      <c r="C8" t="s">
        <v>1014</v>
      </c>
      <c r="D8" t="s">
        <v>994</v>
      </c>
      <c r="E8" t="s">
        <v>1</v>
      </c>
      <c r="F8" t="s">
        <v>994</v>
      </c>
      <c r="G8">
        <v>60</v>
      </c>
      <c r="H8" t="s">
        <v>2</v>
      </c>
      <c r="I8" s="50">
        <v>189384800</v>
      </c>
      <c r="J8">
        <v>0</v>
      </c>
      <c r="K8">
        <v>1</v>
      </c>
      <c r="L8">
        <v>56</v>
      </c>
      <c r="M8">
        <v>118</v>
      </c>
      <c r="N8">
        <v>10273476.82</v>
      </c>
      <c r="O8">
        <v>189384800</v>
      </c>
      <c r="P8" s="51" t="s">
        <v>683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BFA0-53BD-4123-99E5-D0DD8215F44B}">
  <dimension ref="A1:O8"/>
  <sheetViews>
    <sheetView zoomScale="90" zoomScaleNormal="90" workbookViewId="0">
      <selection activeCell="M1" sqref="M1:M8"/>
    </sheetView>
  </sheetViews>
  <sheetFormatPr defaultRowHeight="13.8"/>
  <cols>
    <col min="3" max="3" width="11.69921875" bestFit="1" customWidth="1"/>
    <col min="4" max="4" width="9" bestFit="1" customWidth="1"/>
    <col min="5" max="5" width="7" bestFit="1" customWidth="1"/>
    <col min="6" max="6" width="9" bestFit="1" customWidth="1"/>
    <col min="7" max="7" width="3" bestFit="1" customWidth="1"/>
    <col min="8" max="8" width="7.3984375" bestFit="1" customWidth="1"/>
    <col min="9" max="9" width="10" bestFit="1" customWidth="1"/>
    <col min="10" max="11" width="2" bestFit="1" customWidth="1"/>
    <col min="12" max="12" width="3" bestFit="1" customWidth="1"/>
    <col min="13" max="13" width="4" bestFit="1" customWidth="1"/>
    <col min="14" max="14" width="12" bestFit="1" customWidth="1"/>
    <col min="15" max="15" width="10" bestFit="1" customWidth="1"/>
  </cols>
  <sheetData>
    <row r="1" spans="1:15">
      <c r="A1" t="s">
        <v>967</v>
      </c>
      <c r="B1" t="s">
        <v>959</v>
      </c>
      <c r="C1" t="s">
        <v>1015</v>
      </c>
      <c r="D1" t="s">
        <v>976</v>
      </c>
      <c r="E1" t="s">
        <v>1</v>
      </c>
      <c r="F1" t="s">
        <v>976</v>
      </c>
      <c r="G1">
        <v>60</v>
      </c>
      <c r="H1" t="s">
        <v>2</v>
      </c>
      <c r="I1">
        <v>414377519.03999996</v>
      </c>
      <c r="J1">
        <v>0</v>
      </c>
      <c r="K1">
        <v>1</v>
      </c>
      <c r="L1">
        <v>0</v>
      </c>
      <c r="M1">
        <v>117</v>
      </c>
      <c r="N1">
        <v>414377519.03999996</v>
      </c>
      <c r="O1">
        <v>414377519.03999996</v>
      </c>
    </row>
    <row r="2" spans="1:15">
      <c r="A2" t="s">
        <v>968</v>
      </c>
      <c r="B2" t="s">
        <v>960</v>
      </c>
      <c r="C2" t="s">
        <v>1015</v>
      </c>
      <c r="D2" t="s">
        <v>977</v>
      </c>
      <c r="E2" t="s">
        <v>1</v>
      </c>
      <c r="F2" t="s">
        <v>977</v>
      </c>
      <c r="G2">
        <v>60</v>
      </c>
      <c r="H2" t="s">
        <v>2</v>
      </c>
      <c r="I2">
        <v>34115196</v>
      </c>
      <c r="J2">
        <v>0</v>
      </c>
      <c r="K2">
        <v>1</v>
      </c>
      <c r="L2">
        <v>0</v>
      </c>
      <c r="M2">
        <v>117</v>
      </c>
      <c r="N2">
        <v>34115196</v>
      </c>
      <c r="O2">
        <v>34115196</v>
      </c>
    </row>
    <row r="3" spans="1:15">
      <c r="A3" t="s">
        <v>969</v>
      </c>
      <c r="B3" t="s">
        <v>961</v>
      </c>
      <c r="C3" t="s">
        <v>1015</v>
      </c>
      <c r="D3" t="s">
        <v>978</v>
      </c>
      <c r="E3" t="s">
        <v>1</v>
      </c>
      <c r="F3" t="s">
        <v>978</v>
      </c>
      <c r="G3">
        <v>60</v>
      </c>
      <c r="H3" t="s">
        <v>2</v>
      </c>
      <c r="I3">
        <v>460927500</v>
      </c>
      <c r="J3">
        <v>0</v>
      </c>
      <c r="K3">
        <v>1</v>
      </c>
      <c r="L3">
        <v>0</v>
      </c>
      <c r="M3">
        <v>117</v>
      </c>
      <c r="N3">
        <v>460927500</v>
      </c>
      <c r="O3">
        <v>460927500</v>
      </c>
    </row>
    <row r="4" spans="1:15">
      <c r="A4" t="s">
        <v>970</v>
      </c>
      <c r="B4" t="s">
        <v>962</v>
      </c>
      <c r="C4" t="s">
        <v>1015</v>
      </c>
      <c r="D4" t="s">
        <v>575</v>
      </c>
      <c r="E4" t="s">
        <v>1</v>
      </c>
      <c r="F4" t="s">
        <v>575</v>
      </c>
      <c r="G4">
        <v>60</v>
      </c>
      <c r="H4" t="s">
        <v>2</v>
      </c>
      <c r="I4">
        <v>183026610</v>
      </c>
      <c r="J4">
        <v>0</v>
      </c>
      <c r="K4">
        <v>1</v>
      </c>
      <c r="L4">
        <v>0</v>
      </c>
      <c r="M4">
        <v>117</v>
      </c>
      <c r="N4">
        <v>183026610</v>
      </c>
      <c r="O4">
        <v>183026610</v>
      </c>
    </row>
    <row r="5" spans="1:15">
      <c r="A5" t="s">
        <v>971</v>
      </c>
      <c r="B5" t="s">
        <v>963</v>
      </c>
      <c r="C5" t="s">
        <v>1015</v>
      </c>
      <c r="D5" t="s">
        <v>575</v>
      </c>
      <c r="E5" t="s">
        <v>1</v>
      </c>
      <c r="F5" t="s">
        <v>575</v>
      </c>
      <c r="G5">
        <v>60</v>
      </c>
      <c r="H5" t="s">
        <v>2</v>
      </c>
      <c r="I5">
        <v>427062090</v>
      </c>
      <c r="J5">
        <v>0</v>
      </c>
      <c r="K5">
        <v>1</v>
      </c>
      <c r="L5">
        <v>0</v>
      </c>
      <c r="M5">
        <v>117</v>
      </c>
      <c r="N5">
        <v>427062090</v>
      </c>
      <c r="O5">
        <v>427062090</v>
      </c>
    </row>
    <row r="6" spans="1:15">
      <c r="A6" t="s">
        <v>972</v>
      </c>
      <c r="B6" t="s">
        <v>964</v>
      </c>
      <c r="C6" t="s">
        <v>1015</v>
      </c>
      <c r="D6" t="s">
        <v>978</v>
      </c>
      <c r="E6" t="s">
        <v>1</v>
      </c>
      <c r="F6" t="s">
        <v>978</v>
      </c>
      <c r="G6">
        <v>60</v>
      </c>
      <c r="H6" t="s">
        <v>2</v>
      </c>
      <c r="I6">
        <v>12540000</v>
      </c>
      <c r="J6">
        <v>0</v>
      </c>
      <c r="K6">
        <v>1</v>
      </c>
      <c r="L6">
        <v>0</v>
      </c>
      <c r="M6">
        <v>117</v>
      </c>
      <c r="N6">
        <v>12540000</v>
      </c>
      <c r="O6">
        <v>12540000</v>
      </c>
    </row>
    <row r="7" spans="1:15">
      <c r="A7" t="s">
        <v>973</v>
      </c>
      <c r="B7" t="s">
        <v>965</v>
      </c>
      <c r="C7" t="s">
        <v>1015</v>
      </c>
      <c r="D7" t="s">
        <v>979</v>
      </c>
      <c r="E7" t="s">
        <v>1</v>
      </c>
      <c r="F7" t="s">
        <v>979</v>
      </c>
      <c r="G7">
        <v>60</v>
      </c>
      <c r="H7" t="s">
        <v>2</v>
      </c>
      <c r="I7">
        <v>24500000</v>
      </c>
      <c r="J7">
        <v>0</v>
      </c>
      <c r="K7">
        <v>1</v>
      </c>
      <c r="L7">
        <v>24</v>
      </c>
      <c r="M7">
        <v>117</v>
      </c>
      <c r="N7">
        <v>24500000</v>
      </c>
      <c r="O7">
        <v>24500000</v>
      </c>
    </row>
    <row r="8" spans="1:15">
      <c r="A8" t="s">
        <v>974</v>
      </c>
      <c r="B8" t="s">
        <v>966</v>
      </c>
      <c r="C8" t="s">
        <v>1015</v>
      </c>
      <c r="D8" t="s">
        <v>979</v>
      </c>
      <c r="E8" t="s">
        <v>1</v>
      </c>
      <c r="F8" t="s">
        <v>979</v>
      </c>
      <c r="G8">
        <v>60</v>
      </c>
      <c r="H8" t="s">
        <v>2</v>
      </c>
      <c r="I8">
        <v>24500000</v>
      </c>
      <c r="J8">
        <v>0</v>
      </c>
      <c r="K8">
        <v>1</v>
      </c>
      <c r="L8">
        <v>24</v>
      </c>
      <c r="M8">
        <v>117</v>
      </c>
      <c r="N8">
        <v>24500000</v>
      </c>
      <c r="O8">
        <v>24500000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E6B7-6CDA-4D23-8B5F-2470ABF8C736}">
  <dimension ref="A1:P93"/>
  <sheetViews>
    <sheetView topLeftCell="A71" zoomScale="60" zoomScaleNormal="60" workbookViewId="0">
      <selection activeCell="B1" sqref="B1:B92"/>
    </sheetView>
  </sheetViews>
  <sheetFormatPr defaultRowHeight="13.8"/>
  <cols>
    <col min="2" max="2" width="115.296875" customWidth="1"/>
    <col min="3" max="3" width="12.09765625" bestFit="1" customWidth="1"/>
    <col min="5" max="5" width="15.09765625" bestFit="1" customWidth="1"/>
    <col min="9" max="9" width="13.5" bestFit="1" customWidth="1"/>
    <col min="13" max="13" width="10.296875" bestFit="1" customWidth="1"/>
    <col min="14" max="14" width="12" bestFit="1" customWidth="1"/>
    <col min="15" max="15" width="11.796875" bestFit="1" customWidth="1"/>
    <col min="16" max="16" width="33" bestFit="1" customWidth="1"/>
  </cols>
  <sheetData>
    <row r="1" spans="1:16" ht="27.6">
      <c r="A1" t="s">
        <v>738</v>
      </c>
      <c r="B1" s="18" t="s">
        <v>684</v>
      </c>
      <c r="C1" t="s">
        <v>1016</v>
      </c>
      <c r="D1" t="s">
        <v>830</v>
      </c>
      <c r="E1" t="s">
        <v>1</v>
      </c>
      <c r="F1" t="s">
        <v>830</v>
      </c>
      <c r="G1" s="21">
        <v>60</v>
      </c>
      <c r="H1" t="s">
        <v>2</v>
      </c>
      <c r="I1" s="22">
        <v>1848000</v>
      </c>
      <c r="J1">
        <v>0</v>
      </c>
      <c r="K1">
        <v>1</v>
      </c>
      <c r="L1">
        <v>43</v>
      </c>
      <c r="M1">
        <v>116</v>
      </c>
      <c r="N1">
        <v>511364.38</v>
      </c>
      <c r="O1" s="16">
        <v>1848000</v>
      </c>
      <c r="P1" s="28" t="s">
        <v>867</v>
      </c>
    </row>
    <row r="2" spans="1:16" ht="27.6">
      <c r="A2" t="s">
        <v>739</v>
      </c>
      <c r="B2" s="18" t="s">
        <v>684</v>
      </c>
      <c r="C2" t="s">
        <v>1016</v>
      </c>
      <c r="D2" t="s">
        <v>830</v>
      </c>
      <c r="E2" t="s">
        <v>1</v>
      </c>
      <c r="F2" t="s">
        <v>830</v>
      </c>
      <c r="G2" s="21">
        <v>60</v>
      </c>
      <c r="H2" t="s">
        <v>2</v>
      </c>
      <c r="I2" s="22">
        <v>1848000</v>
      </c>
      <c r="J2">
        <v>0</v>
      </c>
      <c r="K2">
        <v>1</v>
      </c>
      <c r="L2">
        <v>43</v>
      </c>
      <c r="M2">
        <v>116</v>
      </c>
      <c r="N2">
        <v>511364.38</v>
      </c>
      <c r="O2" s="16">
        <v>1848000</v>
      </c>
      <c r="P2" s="28" t="s">
        <v>868</v>
      </c>
    </row>
    <row r="3" spans="1:16" ht="27.6">
      <c r="A3" t="s">
        <v>740</v>
      </c>
      <c r="B3" s="18" t="s">
        <v>685</v>
      </c>
      <c r="C3" t="s">
        <v>1016</v>
      </c>
      <c r="D3" t="s">
        <v>557</v>
      </c>
      <c r="E3" t="s">
        <v>1</v>
      </c>
      <c r="F3" t="s">
        <v>557</v>
      </c>
      <c r="G3" s="21">
        <v>60</v>
      </c>
      <c r="H3" t="s">
        <v>2</v>
      </c>
      <c r="I3" s="22">
        <v>12725900</v>
      </c>
      <c r="J3">
        <v>0</v>
      </c>
      <c r="K3">
        <v>1</v>
      </c>
      <c r="L3">
        <v>45</v>
      </c>
      <c r="M3">
        <v>116</v>
      </c>
      <c r="N3">
        <v>3123946.96</v>
      </c>
      <c r="O3" s="16">
        <v>12725900</v>
      </c>
      <c r="P3" s="28" t="s">
        <v>869</v>
      </c>
    </row>
    <row r="4" spans="1:16" ht="27.6">
      <c r="A4" t="s">
        <v>741</v>
      </c>
      <c r="B4" s="18" t="s">
        <v>685</v>
      </c>
      <c r="C4" t="s">
        <v>1016</v>
      </c>
      <c r="D4" t="s">
        <v>557</v>
      </c>
      <c r="E4" t="s">
        <v>1</v>
      </c>
      <c r="F4" t="s">
        <v>557</v>
      </c>
      <c r="G4" s="21">
        <v>60</v>
      </c>
      <c r="H4" t="s">
        <v>2</v>
      </c>
      <c r="I4" s="22">
        <v>12725900</v>
      </c>
      <c r="J4">
        <v>0</v>
      </c>
      <c r="K4">
        <v>1</v>
      </c>
      <c r="L4">
        <v>45</v>
      </c>
      <c r="M4">
        <v>116</v>
      </c>
      <c r="N4">
        <v>3123946.96</v>
      </c>
      <c r="O4" s="16">
        <v>12725900</v>
      </c>
      <c r="P4" s="28" t="s">
        <v>870</v>
      </c>
    </row>
    <row r="5" spans="1:16" ht="27.6">
      <c r="A5" t="s">
        <v>742</v>
      </c>
      <c r="B5" s="11" t="s">
        <v>685</v>
      </c>
      <c r="C5" t="s">
        <v>1016</v>
      </c>
      <c r="D5" t="s">
        <v>557</v>
      </c>
      <c r="E5" t="s">
        <v>1</v>
      </c>
      <c r="F5" t="s">
        <v>557</v>
      </c>
      <c r="G5" s="21">
        <v>60</v>
      </c>
      <c r="H5" t="s">
        <v>2</v>
      </c>
      <c r="I5" s="22">
        <v>12725900</v>
      </c>
      <c r="J5">
        <v>0</v>
      </c>
      <c r="K5">
        <v>1</v>
      </c>
      <c r="L5">
        <v>45</v>
      </c>
      <c r="M5">
        <v>116</v>
      </c>
      <c r="N5">
        <v>3123946.96</v>
      </c>
      <c r="O5" s="16">
        <v>12725900</v>
      </c>
      <c r="P5" s="28" t="s">
        <v>871</v>
      </c>
    </row>
    <row r="6" spans="1:16" ht="27.6">
      <c r="A6" t="s">
        <v>743</v>
      </c>
      <c r="B6" s="18" t="s">
        <v>686</v>
      </c>
      <c r="C6" t="s">
        <v>1016</v>
      </c>
      <c r="D6" t="s">
        <v>831</v>
      </c>
      <c r="E6" t="s">
        <v>1</v>
      </c>
      <c r="F6" t="s">
        <v>831</v>
      </c>
      <c r="G6" s="21">
        <v>60</v>
      </c>
      <c r="H6" t="s">
        <v>2</v>
      </c>
      <c r="I6" s="22">
        <v>23100000</v>
      </c>
      <c r="J6">
        <v>0</v>
      </c>
      <c r="K6">
        <v>1</v>
      </c>
      <c r="L6">
        <v>45</v>
      </c>
      <c r="M6">
        <v>116</v>
      </c>
      <c r="N6">
        <v>5771835.6200000001</v>
      </c>
      <c r="O6" s="16">
        <v>23100000</v>
      </c>
      <c r="P6" s="28" t="s">
        <v>872</v>
      </c>
    </row>
    <row r="7" spans="1:16" ht="27.6">
      <c r="A7" t="s">
        <v>744</v>
      </c>
      <c r="B7" s="18" t="s">
        <v>687</v>
      </c>
      <c r="C7" t="s">
        <v>1016</v>
      </c>
      <c r="D7" t="s">
        <v>831</v>
      </c>
      <c r="E7" t="s">
        <v>1</v>
      </c>
      <c r="F7" t="s">
        <v>831</v>
      </c>
      <c r="G7" s="21">
        <v>60</v>
      </c>
      <c r="H7" t="s">
        <v>2</v>
      </c>
      <c r="I7" s="22">
        <v>20790000</v>
      </c>
      <c r="J7">
        <v>0</v>
      </c>
      <c r="K7">
        <v>1</v>
      </c>
      <c r="L7">
        <v>45</v>
      </c>
      <c r="M7">
        <v>116</v>
      </c>
      <c r="N7">
        <v>5194652.05</v>
      </c>
      <c r="O7" s="16">
        <v>20790000</v>
      </c>
      <c r="P7" s="28" t="s">
        <v>873</v>
      </c>
    </row>
    <row r="8" spans="1:16" ht="27.6">
      <c r="A8" t="s">
        <v>745</v>
      </c>
      <c r="B8" s="18" t="s">
        <v>685</v>
      </c>
      <c r="C8" t="s">
        <v>1016</v>
      </c>
      <c r="D8" t="s">
        <v>558</v>
      </c>
      <c r="E8" t="s">
        <v>1</v>
      </c>
      <c r="F8" t="s">
        <v>558</v>
      </c>
      <c r="G8" s="21">
        <v>60</v>
      </c>
      <c r="H8" t="s">
        <v>2</v>
      </c>
      <c r="I8" s="22">
        <v>12243000</v>
      </c>
      <c r="J8">
        <v>0</v>
      </c>
      <c r="K8">
        <v>1</v>
      </c>
      <c r="L8">
        <v>40</v>
      </c>
      <c r="M8">
        <v>116</v>
      </c>
      <c r="N8">
        <v>3890926.03</v>
      </c>
      <c r="O8" s="16">
        <v>12243000</v>
      </c>
      <c r="P8" s="28" t="s">
        <v>874</v>
      </c>
    </row>
    <row r="9" spans="1:16" ht="27.6">
      <c r="A9" t="s">
        <v>746</v>
      </c>
      <c r="B9" s="18" t="s">
        <v>688</v>
      </c>
      <c r="C9" t="s">
        <v>1016</v>
      </c>
      <c r="D9" t="s">
        <v>558</v>
      </c>
      <c r="E9" t="s">
        <v>1</v>
      </c>
      <c r="F9" t="s">
        <v>558</v>
      </c>
      <c r="G9" s="21">
        <v>60</v>
      </c>
      <c r="H9" t="s">
        <v>2</v>
      </c>
      <c r="I9" s="22">
        <v>6583500</v>
      </c>
      <c r="J9">
        <v>0</v>
      </c>
      <c r="K9">
        <v>1</v>
      </c>
      <c r="L9">
        <v>40</v>
      </c>
      <c r="M9">
        <v>116</v>
      </c>
      <c r="N9">
        <v>2092290.41</v>
      </c>
      <c r="O9" s="16">
        <v>6583500</v>
      </c>
      <c r="P9" s="28" t="s">
        <v>875</v>
      </c>
    </row>
    <row r="10" spans="1:16" ht="27.6">
      <c r="A10" t="s">
        <v>747</v>
      </c>
      <c r="B10" s="18" t="s">
        <v>689</v>
      </c>
      <c r="C10" t="s">
        <v>1016</v>
      </c>
      <c r="D10" t="s">
        <v>832</v>
      </c>
      <c r="E10" t="s">
        <v>1</v>
      </c>
      <c r="F10" t="s">
        <v>832</v>
      </c>
      <c r="G10" s="21">
        <v>60</v>
      </c>
      <c r="H10" t="s">
        <v>2</v>
      </c>
      <c r="I10" s="22">
        <v>18133500</v>
      </c>
      <c r="J10">
        <v>0</v>
      </c>
      <c r="K10">
        <v>1</v>
      </c>
      <c r="L10">
        <v>42</v>
      </c>
      <c r="M10">
        <v>116</v>
      </c>
      <c r="N10">
        <v>5216486.3</v>
      </c>
      <c r="O10" s="16">
        <v>18133500</v>
      </c>
      <c r="P10" s="28" t="s">
        <v>876</v>
      </c>
    </row>
    <row r="11" spans="1:16" ht="27.6">
      <c r="A11" t="s">
        <v>748</v>
      </c>
      <c r="B11" s="18" t="s">
        <v>690</v>
      </c>
      <c r="C11" t="s">
        <v>1016</v>
      </c>
      <c r="D11" t="s">
        <v>833</v>
      </c>
      <c r="E11" t="s">
        <v>1</v>
      </c>
      <c r="F11" t="s">
        <v>833</v>
      </c>
      <c r="G11" s="21">
        <v>60</v>
      </c>
      <c r="H11" t="s">
        <v>2</v>
      </c>
      <c r="I11" s="22">
        <v>2696400</v>
      </c>
      <c r="J11">
        <v>0</v>
      </c>
      <c r="K11">
        <v>1</v>
      </c>
      <c r="L11">
        <v>39</v>
      </c>
      <c r="M11">
        <v>116</v>
      </c>
      <c r="N11">
        <v>941154.41</v>
      </c>
      <c r="O11" s="16">
        <v>2696400</v>
      </c>
      <c r="P11" s="28" t="s">
        <v>877</v>
      </c>
    </row>
    <row r="12" spans="1:16" ht="27.6">
      <c r="A12" t="s">
        <v>749</v>
      </c>
      <c r="B12" s="18" t="s">
        <v>690</v>
      </c>
      <c r="C12" t="s">
        <v>1016</v>
      </c>
      <c r="D12" t="s">
        <v>833</v>
      </c>
      <c r="E12" t="s">
        <v>1</v>
      </c>
      <c r="F12" t="s">
        <v>833</v>
      </c>
      <c r="G12" s="21">
        <v>60</v>
      </c>
      <c r="H12" t="s">
        <v>2</v>
      </c>
      <c r="I12" s="22">
        <v>2696400</v>
      </c>
      <c r="J12">
        <v>0</v>
      </c>
      <c r="K12">
        <v>1</v>
      </c>
      <c r="L12">
        <v>39</v>
      </c>
      <c r="M12">
        <v>116</v>
      </c>
      <c r="N12">
        <v>941154.41</v>
      </c>
      <c r="O12" s="16">
        <v>2696400</v>
      </c>
      <c r="P12" s="28" t="s">
        <v>878</v>
      </c>
    </row>
    <row r="13" spans="1:16" ht="27.6">
      <c r="A13" t="s">
        <v>750</v>
      </c>
      <c r="B13" s="18" t="s">
        <v>685</v>
      </c>
      <c r="C13" t="s">
        <v>1016</v>
      </c>
      <c r="D13" t="s">
        <v>833</v>
      </c>
      <c r="E13" t="s">
        <v>1</v>
      </c>
      <c r="F13" t="s">
        <v>833</v>
      </c>
      <c r="G13" s="21">
        <v>60</v>
      </c>
      <c r="H13" t="s">
        <v>2</v>
      </c>
      <c r="I13" s="22">
        <v>11877000</v>
      </c>
      <c r="J13">
        <v>0</v>
      </c>
      <c r="K13">
        <v>1</v>
      </c>
      <c r="L13">
        <v>39</v>
      </c>
      <c r="M13">
        <v>116</v>
      </c>
      <c r="N13">
        <v>4145561.1</v>
      </c>
      <c r="O13" s="16">
        <v>11877000</v>
      </c>
      <c r="P13" s="28" t="s">
        <v>879</v>
      </c>
    </row>
    <row r="14" spans="1:16" ht="27.6">
      <c r="A14" t="s">
        <v>751</v>
      </c>
      <c r="B14" s="18" t="s">
        <v>691</v>
      </c>
      <c r="C14" t="s">
        <v>1016</v>
      </c>
      <c r="D14" t="s">
        <v>834</v>
      </c>
      <c r="E14" t="s">
        <v>1</v>
      </c>
      <c r="F14" t="s">
        <v>834</v>
      </c>
      <c r="G14" s="21">
        <v>60</v>
      </c>
      <c r="H14" t="s">
        <v>2</v>
      </c>
      <c r="I14" s="22">
        <v>5499800</v>
      </c>
      <c r="J14">
        <v>0</v>
      </c>
      <c r="K14">
        <v>1</v>
      </c>
      <c r="L14">
        <v>38</v>
      </c>
      <c r="M14">
        <v>116</v>
      </c>
      <c r="N14">
        <v>1982941.59</v>
      </c>
      <c r="O14" s="16">
        <v>5499800</v>
      </c>
      <c r="P14" s="28" t="s">
        <v>880</v>
      </c>
    </row>
    <row r="15" spans="1:16" ht="27.6">
      <c r="A15" t="s">
        <v>752</v>
      </c>
      <c r="B15" s="18" t="s">
        <v>692</v>
      </c>
      <c r="C15" t="s">
        <v>1016</v>
      </c>
      <c r="D15" t="s">
        <v>834</v>
      </c>
      <c r="E15" t="s">
        <v>1</v>
      </c>
      <c r="F15" t="s">
        <v>834</v>
      </c>
      <c r="G15" s="21">
        <v>60</v>
      </c>
      <c r="H15" t="s">
        <v>2</v>
      </c>
      <c r="I15" s="22">
        <v>11898400</v>
      </c>
      <c r="J15">
        <v>0</v>
      </c>
      <c r="K15">
        <v>1</v>
      </c>
      <c r="L15">
        <v>38</v>
      </c>
      <c r="M15">
        <v>116</v>
      </c>
      <c r="N15">
        <v>4289943.67</v>
      </c>
      <c r="O15" s="16">
        <v>11898400</v>
      </c>
      <c r="P15" s="28" t="s">
        <v>881</v>
      </c>
    </row>
    <row r="16" spans="1:16" ht="27.6">
      <c r="A16" t="s">
        <v>753</v>
      </c>
      <c r="B16" s="18" t="s">
        <v>693</v>
      </c>
      <c r="C16" t="s">
        <v>1016</v>
      </c>
      <c r="D16" t="s">
        <v>559</v>
      </c>
      <c r="E16" t="s">
        <v>1</v>
      </c>
      <c r="F16" t="s">
        <v>559</v>
      </c>
      <c r="G16" s="21">
        <v>60</v>
      </c>
      <c r="H16" t="s">
        <v>2</v>
      </c>
      <c r="I16" s="22">
        <v>2399000</v>
      </c>
      <c r="J16">
        <v>0</v>
      </c>
      <c r="K16">
        <v>1</v>
      </c>
      <c r="L16">
        <v>36</v>
      </c>
      <c r="M16">
        <v>116</v>
      </c>
      <c r="N16">
        <v>931995.07</v>
      </c>
      <c r="O16" s="16">
        <v>2399000</v>
      </c>
      <c r="P16" s="28" t="s">
        <v>882</v>
      </c>
    </row>
    <row r="17" spans="1:16" ht="27.6">
      <c r="A17" t="s">
        <v>754</v>
      </c>
      <c r="B17" s="18" t="s">
        <v>694</v>
      </c>
      <c r="C17" t="s">
        <v>1016</v>
      </c>
      <c r="D17" t="s">
        <v>559</v>
      </c>
      <c r="E17" t="s">
        <v>1</v>
      </c>
      <c r="F17" t="s">
        <v>559</v>
      </c>
      <c r="G17" s="21">
        <v>60</v>
      </c>
      <c r="H17" t="s">
        <v>2</v>
      </c>
      <c r="I17" s="22">
        <v>2399000</v>
      </c>
      <c r="J17">
        <v>0</v>
      </c>
      <c r="K17">
        <v>1</v>
      </c>
      <c r="L17">
        <v>36</v>
      </c>
      <c r="M17">
        <v>116</v>
      </c>
      <c r="N17">
        <v>931995.07</v>
      </c>
      <c r="O17" s="16">
        <v>2399000</v>
      </c>
      <c r="P17" s="28" t="s">
        <v>883</v>
      </c>
    </row>
    <row r="18" spans="1:16" ht="27.6">
      <c r="A18" t="s">
        <v>755</v>
      </c>
      <c r="B18" s="18" t="s">
        <v>695</v>
      </c>
      <c r="C18" t="s">
        <v>1016</v>
      </c>
      <c r="D18" t="s">
        <v>835</v>
      </c>
      <c r="E18" t="s">
        <v>1</v>
      </c>
      <c r="F18" t="s">
        <v>835</v>
      </c>
      <c r="G18" s="21">
        <v>60</v>
      </c>
      <c r="H18" t="s">
        <v>2</v>
      </c>
      <c r="I18" s="22">
        <v>4565000</v>
      </c>
      <c r="J18">
        <v>0</v>
      </c>
      <c r="K18">
        <v>1</v>
      </c>
      <c r="L18">
        <v>40</v>
      </c>
      <c r="M18">
        <v>116</v>
      </c>
      <c r="N18">
        <v>1508326.03</v>
      </c>
      <c r="O18" s="16">
        <v>4565000</v>
      </c>
      <c r="P18" s="28" t="s">
        <v>884</v>
      </c>
    </row>
    <row r="19" spans="1:16" ht="27.6">
      <c r="A19" t="s">
        <v>756</v>
      </c>
      <c r="B19" s="18" t="s">
        <v>696</v>
      </c>
      <c r="C19" t="s">
        <v>1016</v>
      </c>
      <c r="D19" t="s">
        <v>836</v>
      </c>
      <c r="E19" t="s">
        <v>1</v>
      </c>
      <c r="F19" t="s">
        <v>836</v>
      </c>
      <c r="G19" s="21">
        <v>60</v>
      </c>
      <c r="H19" t="s">
        <v>2</v>
      </c>
      <c r="I19" s="22">
        <v>12870000</v>
      </c>
      <c r="J19">
        <v>0</v>
      </c>
      <c r="K19">
        <v>1</v>
      </c>
      <c r="L19">
        <v>45</v>
      </c>
      <c r="M19">
        <v>116</v>
      </c>
      <c r="N19">
        <v>3046487.67</v>
      </c>
      <c r="O19" s="16">
        <v>12870000</v>
      </c>
      <c r="P19" s="28" t="s">
        <v>885</v>
      </c>
    </row>
    <row r="20" spans="1:16" ht="27.6">
      <c r="A20" t="s">
        <v>757</v>
      </c>
      <c r="B20" s="18" t="s">
        <v>697</v>
      </c>
      <c r="C20" t="s">
        <v>1016</v>
      </c>
      <c r="D20" t="s">
        <v>836</v>
      </c>
      <c r="E20" t="s">
        <v>1</v>
      </c>
      <c r="F20" t="s">
        <v>836</v>
      </c>
      <c r="G20" s="21">
        <v>60</v>
      </c>
      <c r="H20" t="s">
        <v>2</v>
      </c>
      <c r="I20" s="22">
        <v>1868900</v>
      </c>
      <c r="J20">
        <v>0</v>
      </c>
      <c r="K20">
        <v>1</v>
      </c>
      <c r="L20">
        <v>45</v>
      </c>
      <c r="M20">
        <v>116</v>
      </c>
      <c r="N20">
        <v>442391.67</v>
      </c>
      <c r="O20" s="16">
        <v>1868900</v>
      </c>
      <c r="P20" s="28" t="s">
        <v>886</v>
      </c>
    </row>
    <row r="21" spans="1:16" ht="27.6">
      <c r="A21" t="s">
        <v>758</v>
      </c>
      <c r="B21" s="18" t="s">
        <v>698</v>
      </c>
      <c r="C21" t="s">
        <v>1016</v>
      </c>
      <c r="D21" t="s">
        <v>562</v>
      </c>
      <c r="E21" t="s">
        <v>1</v>
      </c>
      <c r="F21" t="s">
        <v>562</v>
      </c>
      <c r="G21" s="21">
        <v>60</v>
      </c>
      <c r="H21" t="s">
        <v>2</v>
      </c>
      <c r="I21" s="22">
        <v>13816000</v>
      </c>
      <c r="J21">
        <v>0</v>
      </c>
      <c r="K21">
        <v>1</v>
      </c>
      <c r="L21">
        <v>46</v>
      </c>
      <c r="M21">
        <v>116</v>
      </c>
      <c r="N21">
        <v>3194713.42</v>
      </c>
      <c r="O21" s="16">
        <v>13816000</v>
      </c>
      <c r="P21" s="28" t="s">
        <v>887</v>
      </c>
    </row>
    <row r="22" spans="1:16" ht="27.6">
      <c r="A22" t="s">
        <v>759</v>
      </c>
      <c r="B22" s="18" t="s">
        <v>699</v>
      </c>
      <c r="C22" t="s">
        <v>1016</v>
      </c>
      <c r="D22" t="s">
        <v>562</v>
      </c>
      <c r="E22" t="s">
        <v>1</v>
      </c>
      <c r="F22" t="s">
        <v>562</v>
      </c>
      <c r="G22" s="21">
        <v>60</v>
      </c>
      <c r="H22" t="s">
        <v>2</v>
      </c>
      <c r="I22" s="22">
        <v>12870000</v>
      </c>
      <c r="J22">
        <v>0</v>
      </c>
      <c r="K22">
        <v>1</v>
      </c>
      <c r="L22">
        <v>46</v>
      </c>
      <c r="M22">
        <v>116</v>
      </c>
      <c r="N22">
        <v>2975967.12</v>
      </c>
      <c r="O22" s="16">
        <v>12870000</v>
      </c>
      <c r="P22" s="28" t="s">
        <v>888</v>
      </c>
    </row>
    <row r="23" spans="1:16" ht="27.6">
      <c r="A23" t="s">
        <v>760</v>
      </c>
      <c r="B23" s="18" t="s">
        <v>700</v>
      </c>
      <c r="C23" t="s">
        <v>1016</v>
      </c>
      <c r="D23" t="s">
        <v>837</v>
      </c>
      <c r="E23" t="s">
        <v>1</v>
      </c>
      <c r="F23" t="s">
        <v>837</v>
      </c>
      <c r="G23" s="21">
        <v>60</v>
      </c>
      <c r="H23" t="s">
        <v>2</v>
      </c>
      <c r="I23" s="22">
        <v>2040500</v>
      </c>
      <c r="J23">
        <v>0</v>
      </c>
      <c r="K23">
        <v>1</v>
      </c>
      <c r="L23">
        <v>46</v>
      </c>
      <c r="M23">
        <v>116</v>
      </c>
      <c r="N23">
        <v>462886.03</v>
      </c>
      <c r="O23" s="16">
        <v>2040500</v>
      </c>
      <c r="P23" s="28" t="s">
        <v>889</v>
      </c>
    </row>
    <row r="24" spans="1:16" ht="27.6">
      <c r="A24" t="s">
        <v>761</v>
      </c>
      <c r="B24" s="18" t="s">
        <v>701</v>
      </c>
      <c r="C24" t="s">
        <v>1016</v>
      </c>
      <c r="D24" t="s">
        <v>838</v>
      </c>
      <c r="E24" t="s">
        <v>1</v>
      </c>
      <c r="F24" t="s">
        <v>838</v>
      </c>
      <c r="G24" s="21">
        <v>60</v>
      </c>
      <c r="H24" t="s">
        <v>2</v>
      </c>
      <c r="I24" s="22">
        <v>9625000</v>
      </c>
      <c r="J24">
        <v>0</v>
      </c>
      <c r="K24">
        <v>1</v>
      </c>
      <c r="L24">
        <v>46</v>
      </c>
      <c r="M24">
        <v>116</v>
      </c>
      <c r="N24">
        <v>2151780.8199999998</v>
      </c>
      <c r="O24" s="16">
        <v>9625000</v>
      </c>
      <c r="P24" s="28" t="s">
        <v>890</v>
      </c>
    </row>
    <row r="25" spans="1:16" ht="27.6">
      <c r="A25" t="s">
        <v>762</v>
      </c>
      <c r="B25" s="18" t="s">
        <v>685</v>
      </c>
      <c r="C25" t="s">
        <v>1016</v>
      </c>
      <c r="D25" t="s">
        <v>838</v>
      </c>
      <c r="E25" t="s">
        <v>1</v>
      </c>
      <c r="F25" t="s">
        <v>838</v>
      </c>
      <c r="G25" s="21">
        <v>60</v>
      </c>
      <c r="H25" t="s">
        <v>2</v>
      </c>
      <c r="I25" s="22">
        <v>12540000</v>
      </c>
      <c r="J25">
        <v>0</v>
      </c>
      <c r="K25">
        <v>1</v>
      </c>
      <c r="L25">
        <v>46</v>
      </c>
      <c r="M25">
        <v>116</v>
      </c>
      <c r="N25">
        <v>2803463.01</v>
      </c>
      <c r="O25" s="16">
        <v>12540000</v>
      </c>
      <c r="P25" s="28" t="s">
        <v>891</v>
      </c>
    </row>
    <row r="26" spans="1:16" ht="27.6">
      <c r="A26" t="s">
        <v>763</v>
      </c>
      <c r="B26" s="18" t="s">
        <v>685</v>
      </c>
      <c r="C26" t="s">
        <v>1016</v>
      </c>
      <c r="D26" t="s">
        <v>838</v>
      </c>
      <c r="E26" t="s">
        <v>1</v>
      </c>
      <c r="F26" t="s">
        <v>838</v>
      </c>
      <c r="G26" s="21">
        <v>60</v>
      </c>
      <c r="H26" t="s">
        <v>2</v>
      </c>
      <c r="I26" s="22">
        <v>12540000</v>
      </c>
      <c r="J26">
        <v>0</v>
      </c>
      <c r="K26">
        <v>1</v>
      </c>
      <c r="L26">
        <v>46</v>
      </c>
      <c r="M26">
        <v>116</v>
      </c>
      <c r="N26">
        <v>2803463.01</v>
      </c>
      <c r="O26" s="16">
        <v>12540000</v>
      </c>
      <c r="P26" s="28" t="s">
        <v>892</v>
      </c>
    </row>
    <row r="27" spans="1:16" ht="27.6">
      <c r="A27" t="s">
        <v>764</v>
      </c>
      <c r="B27" s="18" t="s">
        <v>698</v>
      </c>
      <c r="C27" t="s">
        <v>1016</v>
      </c>
      <c r="D27" t="s">
        <v>839</v>
      </c>
      <c r="E27" t="s">
        <v>1</v>
      </c>
      <c r="F27" t="s">
        <v>839</v>
      </c>
      <c r="G27" s="21">
        <v>60</v>
      </c>
      <c r="H27" t="s">
        <v>2</v>
      </c>
      <c r="I27" s="22">
        <v>12320000</v>
      </c>
      <c r="J27">
        <v>0</v>
      </c>
      <c r="K27">
        <v>1</v>
      </c>
      <c r="L27">
        <v>47</v>
      </c>
      <c r="M27">
        <v>116</v>
      </c>
      <c r="N27">
        <v>2646268.4900000002</v>
      </c>
      <c r="O27" s="16">
        <v>12320000</v>
      </c>
      <c r="P27" s="28" t="s">
        <v>893</v>
      </c>
    </row>
    <row r="28" spans="1:16" ht="27.6">
      <c r="A28" t="s">
        <v>765</v>
      </c>
      <c r="B28" s="34" t="s">
        <v>702</v>
      </c>
      <c r="C28" t="s">
        <v>1016</v>
      </c>
      <c r="D28" t="s">
        <v>840</v>
      </c>
      <c r="E28" t="s">
        <v>1</v>
      </c>
      <c r="F28" t="s">
        <v>840</v>
      </c>
      <c r="G28" s="21">
        <v>60</v>
      </c>
      <c r="H28" t="s">
        <v>2</v>
      </c>
      <c r="I28" s="38">
        <v>10246500</v>
      </c>
      <c r="J28">
        <v>0</v>
      </c>
      <c r="K28">
        <v>1</v>
      </c>
      <c r="L28">
        <v>48</v>
      </c>
      <c r="M28">
        <v>116</v>
      </c>
      <c r="N28">
        <v>1998769.32</v>
      </c>
      <c r="O28" s="16">
        <v>10246500</v>
      </c>
      <c r="P28" s="29" t="s">
        <v>894</v>
      </c>
    </row>
    <row r="29" spans="1:16" ht="27.6">
      <c r="A29" t="s">
        <v>766</v>
      </c>
      <c r="B29" s="34" t="s">
        <v>702</v>
      </c>
      <c r="C29" t="s">
        <v>1016</v>
      </c>
      <c r="D29" t="s">
        <v>840</v>
      </c>
      <c r="E29" t="s">
        <v>1</v>
      </c>
      <c r="F29" t="s">
        <v>840</v>
      </c>
      <c r="G29" s="21">
        <v>60</v>
      </c>
      <c r="H29" t="s">
        <v>2</v>
      </c>
      <c r="I29" s="38">
        <v>10246500</v>
      </c>
      <c r="J29">
        <v>0</v>
      </c>
      <c r="K29">
        <v>1</v>
      </c>
      <c r="L29">
        <v>48</v>
      </c>
      <c r="M29">
        <v>116</v>
      </c>
      <c r="N29">
        <v>1998769.32</v>
      </c>
      <c r="O29" s="16">
        <v>10246500</v>
      </c>
      <c r="P29" s="29" t="s">
        <v>895</v>
      </c>
    </row>
    <row r="30" spans="1:16" ht="27.6">
      <c r="A30" t="s">
        <v>767</v>
      </c>
      <c r="B30" s="34" t="s">
        <v>703</v>
      </c>
      <c r="C30" t="s">
        <v>1016</v>
      </c>
      <c r="D30" t="s">
        <v>840</v>
      </c>
      <c r="E30" t="s">
        <v>1</v>
      </c>
      <c r="F30" t="s">
        <v>840</v>
      </c>
      <c r="G30" s="21">
        <v>60</v>
      </c>
      <c r="H30" t="s">
        <v>2</v>
      </c>
      <c r="I30" s="38">
        <v>9652500</v>
      </c>
      <c r="J30">
        <v>0</v>
      </c>
      <c r="K30">
        <v>1</v>
      </c>
      <c r="L30">
        <v>48</v>
      </c>
      <c r="M30">
        <v>116</v>
      </c>
      <c r="N30">
        <v>1882898.63</v>
      </c>
      <c r="O30" s="16">
        <v>9652500</v>
      </c>
      <c r="P30" s="29" t="s">
        <v>896</v>
      </c>
    </row>
    <row r="31" spans="1:16" ht="27.6">
      <c r="A31" t="s">
        <v>768</v>
      </c>
      <c r="B31" s="34" t="s">
        <v>704</v>
      </c>
      <c r="C31" t="s">
        <v>1016</v>
      </c>
      <c r="D31" t="s">
        <v>840</v>
      </c>
      <c r="E31" t="s">
        <v>1</v>
      </c>
      <c r="F31" t="s">
        <v>840</v>
      </c>
      <c r="G31" s="21">
        <v>60</v>
      </c>
      <c r="H31" t="s">
        <v>2</v>
      </c>
      <c r="I31" s="38">
        <v>10246500</v>
      </c>
      <c r="J31">
        <v>0</v>
      </c>
      <c r="K31">
        <v>1</v>
      </c>
      <c r="L31">
        <v>48</v>
      </c>
      <c r="M31">
        <v>116</v>
      </c>
      <c r="N31">
        <v>1998769.32</v>
      </c>
      <c r="O31" s="16">
        <v>10246500</v>
      </c>
      <c r="P31" s="29" t="s">
        <v>897</v>
      </c>
    </row>
    <row r="32" spans="1:16" ht="27.6">
      <c r="A32" t="s">
        <v>769</v>
      </c>
      <c r="B32" s="34" t="s">
        <v>705</v>
      </c>
      <c r="C32" t="s">
        <v>1016</v>
      </c>
      <c r="D32" t="s">
        <v>840</v>
      </c>
      <c r="E32" t="s">
        <v>1</v>
      </c>
      <c r="F32" t="s">
        <v>840</v>
      </c>
      <c r="G32" s="21">
        <v>60</v>
      </c>
      <c r="H32" t="s">
        <v>2</v>
      </c>
      <c r="I32" s="38">
        <v>9020000</v>
      </c>
      <c r="J32">
        <v>0</v>
      </c>
      <c r="K32">
        <v>1</v>
      </c>
      <c r="L32">
        <v>48</v>
      </c>
      <c r="M32">
        <v>116</v>
      </c>
      <c r="N32">
        <v>1759517.81</v>
      </c>
      <c r="O32" s="16">
        <v>9020000</v>
      </c>
      <c r="P32" s="29" t="s">
        <v>898</v>
      </c>
    </row>
    <row r="33" spans="1:16" ht="27.6">
      <c r="A33" t="s">
        <v>770</v>
      </c>
      <c r="B33" s="34" t="s">
        <v>705</v>
      </c>
      <c r="C33" t="s">
        <v>1016</v>
      </c>
      <c r="D33" t="s">
        <v>840</v>
      </c>
      <c r="E33" t="s">
        <v>1</v>
      </c>
      <c r="F33" t="s">
        <v>840</v>
      </c>
      <c r="G33" s="21">
        <v>60</v>
      </c>
      <c r="H33" t="s">
        <v>2</v>
      </c>
      <c r="I33" s="38">
        <v>9020000</v>
      </c>
      <c r="J33">
        <v>0</v>
      </c>
      <c r="K33">
        <v>1</v>
      </c>
      <c r="L33">
        <v>48</v>
      </c>
      <c r="M33">
        <v>116</v>
      </c>
      <c r="N33">
        <v>1759517.81</v>
      </c>
      <c r="O33" s="16">
        <v>9020000</v>
      </c>
      <c r="P33" s="29" t="s">
        <v>899</v>
      </c>
    </row>
    <row r="34" spans="1:16" ht="27.6">
      <c r="A34" t="s">
        <v>771</v>
      </c>
      <c r="B34" s="18" t="s">
        <v>706</v>
      </c>
      <c r="C34" t="s">
        <v>1016</v>
      </c>
      <c r="D34" t="s">
        <v>841</v>
      </c>
      <c r="E34" t="s">
        <v>1</v>
      </c>
      <c r="F34" t="s">
        <v>841</v>
      </c>
      <c r="G34" s="21">
        <v>60</v>
      </c>
      <c r="H34" t="s">
        <v>2</v>
      </c>
      <c r="I34" s="26">
        <v>5399000</v>
      </c>
      <c r="J34">
        <v>0</v>
      </c>
      <c r="K34">
        <v>1</v>
      </c>
      <c r="L34">
        <v>0</v>
      </c>
      <c r="M34">
        <v>116</v>
      </c>
      <c r="N34">
        <v>5399000</v>
      </c>
      <c r="O34" s="16">
        <v>5399000</v>
      </c>
      <c r="P34" s="29" t="s">
        <v>900</v>
      </c>
    </row>
    <row r="35" spans="1:16" ht="27.6">
      <c r="A35" t="s">
        <v>772</v>
      </c>
      <c r="B35" s="18" t="s">
        <v>707</v>
      </c>
      <c r="C35" t="s">
        <v>1016</v>
      </c>
      <c r="D35" t="s">
        <v>842</v>
      </c>
      <c r="E35" t="s">
        <v>1</v>
      </c>
      <c r="F35" t="s">
        <v>842</v>
      </c>
      <c r="G35" s="21">
        <v>60</v>
      </c>
      <c r="H35" t="s">
        <v>2</v>
      </c>
      <c r="I35" s="26">
        <v>4599000</v>
      </c>
      <c r="J35">
        <v>0</v>
      </c>
      <c r="K35">
        <v>1</v>
      </c>
      <c r="L35">
        <v>0</v>
      </c>
      <c r="M35">
        <v>116</v>
      </c>
      <c r="N35">
        <v>4599000</v>
      </c>
      <c r="O35" s="16">
        <v>4599000</v>
      </c>
      <c r="P35" s="29" t="s">
        <v>901</v>
      </c>
    </row>
    <row r="36" spans="1:16" ht="27.6">
      <c r="A36" t="s">
        <v>773</v>
      </c>
      <c r="B36" s="18" t="s">
        <v>708</v>
      </c>
      <c r="C36" t="s">
        <v>1016</v>
      </c>
      <c r="D36" t="s">
        <v>842</v>
      </c>
      <c r="E36" t="s">
        <v>1</v>
      </c>
      <c r="F36" t="s">
        <v>842</v>
      </c>
      <c r="G36" s="21">
        <v>60</v>
      </c>
      <c r="H36" t="s">
        <v>2</v>
      </c>
      <c r="I36" s="26">
        <v>1500000</v>
      </c>
      <c r="J36">
        <v>0</v>
      </c>
      <c r="K36">
        <v>1</v>
      </c>
      <c r="L36">
        <v>0</v>
      </c>
      <c r="M36">
        <v>116</v>
      </c>
      <c r="N36">
        <v>1500000</v>
      </c>
      <c r="O36" s="16">
        <v>1500000</v>
      </c>
      <c r="P36" s="29" t="s">
        <v>902</v>
      </c>
    </row>
    <row r="37" spans="1:16" ht="27.6">
      <c r="A37" t="s">
        <v>774</v>
      </c>
      <c r="B37" s="18" t="s">
        <v>709</v>
      </c>
      <c r="C37" t="s">
        <v>1016</v>
      </c>
      <c r="D37" t="s">
        <v>843</v>
      </c>
      <c r="E37" t="s">
        <v>1</v>
      </c>
      <c r="F37" t="s">
        <v>843</v>
      </c>
      <c r="G37" s="21">
        <v>60</v>
      </c>
      <c r="H37" t="s">
        <v>2</v>
      </c>
      <c r="I37" s="26">
        <v>4448000</v>
      </c>
      <c r="J37">
        <v>0</v>
      </c>
      <c r="K37">
        <v>1</v>
      </c>
      <c r="L37">
        <v>0</v>
      </c>
      <c r="M37">
        <v>116</v>
      </c>
      <c r="N37">
        <v>4448000</v>
      </c>
      <c r="O37" s="16">
        <v>4448000</v>
      </c>
      <c r="P37" s="29" t="s">
        <v>903</v>
      </c>
    </row>
    <row r="38" spans="1:16" ht="27.6">
      <c r="A38" t="s">
        <v>775</v>
      </c>
      <c r="B38" s="18" t="s">
        <v>710</v>
      </c>
      <c r="C38" t="s">
        <v>1016</v>
      </c>
      <c r="D38" t="s">
        <v>844</v>
      </c>
      <c r="E38" t="s">
        <v>1</v>
      </c>
      <c r="F38" t="s">
        <v>844</v>
      </c>
      <c r="G38" s="21">
        <v>60</v>
      </c>
      <c r="H38" t="s">
        <v>2</v>
      </c>
      <c r="I38" s="26">
        <v>4298000</v>
      </c>
      <c r="J38">
        <v>0</v>
      </c>
      <c r="K38">
        <v>1</v>
      </c>
      <c r="L38">
        <v>0</v>
      </c>
      <c r="M38">
        <v>116</v>
      </c>
      <c r="N38">
        <v>4298000</v>
      </c>
      <c r="O38" s="16">
        <v>4298000</v>
      </c>
      <c r="P38" s="29" t="s">
        <v>904</v>
      </c>
    </row>
    <row r="39" spans="1:16" ht="27.6">
      <c r="A39" t="s">
        <v>776</v>
      </c>
      <c r="B39" s="18" t="s">
        <v>711</v>
      </c>
      <c r="C39" t="s">
        <v>1016</v>
      </c>
      <c r="D39" t="s">
        <v>844</v>
      </c>
      <c r="E39" t="s">
        <v>1</v>
      </c>
      <c r="F39" t="s">
        <v>844</v>
      </c>
      <c r="G39" s="21">
        <v>60</v>
      </c>
      <c r="H39" t="s">
        <v>2</v>
      </c>
      <c r="I39" s="26">
        <v>950000</v>
      </c>
      <c r="J39">
        <v>0</v>
      </c>
      <c r="K39">
        <v>1</v>
      </c>
      <c r="L39">
        <v>0</v>
      </c>
      <c r="M39">
        <v>116</v>
      </c>
      <c r="N39">
        <v>950000</v>
      </c>
      <c r="O39" s="16">
        <v>950000</v>
      </c>
      <c r="P39" s="29" t="s">
        <v>905</v>
      </c>
    </row>
    <row r="40" spans="1:16" ht="27.6">
      <c r="A40" t="s">
        <v>777</v>
      </c>
      <c r="B40" s="18" t="s">
        <v>706</v>
      </c>
      <c r="C40" t="s">
        <v>1016</v>
      </c>
      <c r="D40" t="s">
        <v>845</v>
      </c>
      <c r="E40" t="s">
        <v>1</v>
      </c>
      <c r="F40" t="s">
        <v>845</v>
      </c>
      <c r="G40" s="21">
        <v>60</v>
      </c>
      <c r="H40" t="s">
        <v>2</v>
      </c>
      <c r="I40" s="26">
        <v>6299000</v>
      </c>
      <c r="J40">
        <v>0</v>
      </c>
      <c r="K40">
        <v>1</v>
      </c>
      <c r="L40">
        <v>0</v>
      </c>
      <c r="M40">
        <v>116</v>
      </c>
      <c r="N40">
        <v>6299000</v>
      </c>
      <c r="O40" s="16">
        <v>6299000</v>
      </c>
      <c r="P40" s="29" t="s">
        <v>906</v>
      </c>
    </row>
    <row r="41" spans="1:16" ht="27.6">
      <c r="A41" t="s">
        <v>778</v>
      </c>
      <c r="B41" s="18" t="s">
        <v>706</v>
      </c>
      <c r="C41" t="s">
        <v>1016</v>
      </c>
      <c r="D41" t="s">
        <v>845</v>
      </c>
      <c r="E41" t="s">
        <v>1</v>
      </c>
      <c r="F41" t="s">
        <v>845</v>
      </c>
      <c r="G41" s="21">
        <v>60</v>
      </c>
      <c r="H41" t="s">
        <v>2</v>
      </c>
      <c r="I41" s="26">
        <v>6299000</v>
      </c>
      <c r="J41">
        <v>0</v>
      </c>
      <c r="K41">
        <v>1</v>
      </c>
      <c r="L41">
        <v>0</v>
      </c>
      <c r="M41">
        <v>116</v>
      </c>
      <c r="N41">
        <v>6299000</v>
      </c>
      <c r="O41" s="16">
        <v>6299000</v>
      </c>
      <c r="P41" s="29" t="s">
        <v>907</v>
      </c>
    </row>
    <row r="42" spans="1:16" ht="27.6">
      <c r="A42" t="s">
        <v>779</v>
      </c>
      <c r="B42" s="18" t="s">
        <v>708</v>
      </c>
      <c r="C42" t="s">
        <v>1016</v>
      </c>
      <c r="D42" t="s">
        <v>841</v>
      </c>
      <c r="E42" t="s">
        <v>1</v>
      </c>
      <c r="F42" t="s">
        <v>841</v>
      </c>
      <c r="G42" s="21">
        <v>60</v>
      </c>
      <c r="H42" t="s">
        <v>2</v>
      </c>
      <c r="I42" s="26">
        <v>899000</v>
      </c>
      <c r="J42">
        <v>0</v>
      </c>
      <c r="K42">
        <v>1</v>
      </c>
      <c r="L42">
        <v>0</v>
      </c>
      <c r="M42">
        <v>116</v>
      </c>
      <c r="N42">
        <v>899000</v>
      </c>
      <c r="O42" s="16">
        <v>899000</v>
      </c>
      <c r="P42" s="29" t="s">
        <v>908</v>
      </c>
    </row>
    <row r="43" spans="1:16" ht="27.6">
      <c r="A43" t="s">
        <v>780</v>
      </c>
      <c r="B43" s="18" t="s">
        <v>707</v>
      </c>
      <c r="C43" t="s">
        <v>1016</v>
      </c>
      <c r="D43" t="s">
        <v>841</v>
      </c>
      <c r="E43" t="s">
        <v>1</v>
      </c>
      <c r="F43" t="s">
        <v>841</v>
      </c>
      <c r="G43" s="21">
        <v>60</v>
      </c>
      <c r="H43" t="s">
        <v>2</v>
      </c>
      <c r="I43" s="26">
        <v>4699000</v>
      </c>
      <c r="J43">
        <v>0</v>
      </c>
      <c r="K43">
        <v>1</v>
      </c>
      <c r="L43">
        <v>0</v>
      </c>
      <c r="M43">
        <v>116</v>
      </c>
      <c r="N43">
        <v>4699000</v>
      </c>
      <c r="O43" s="16">
        <v>4699000</v>
      </c>
      <c r="P43" s="29" t="s">
        <v>909</v>
      </c>
    </row>
    <row r="44" spans="1:16" ht="27.6">
      <c r="A44" t="s">
        <v>781</v>
      </c>
      <c r="B44" s="18" t="s">
        <v>707</v>
      </c>
      <c r="C44" t="s">
        <v>1016</v>
      </c>
      <c r="D44" t="s">
        <v>841</v>
      </c>
      <c r="E44" t="s">
        <v>1</v>
      </c>
      <c r="F44" t="s">
        <v>841</v>
      </c>
      <c r="G44" s="21">
        <v>60</v>
      </c>
      <c r="H44" t="s">
        <v>2</v>
      </c>
      <c r="I44" s="26">
        <v>4699000</v>
      </c>
      <c r="J44">
        <v>0</v>
      </c>
      <c r="K44">
        <v>1</v>
      </c>
      <c r="L44">
        <v>0</v>
      </c>
      <c r="M44">
        <v>116</v>
      </c>
      <c r="N44">
        <v>4699000</v>
      </c>
      <c r="O44" s="16">
        <v>4699000</v>
      </c>
      <c r="P44" s="29" t="s">
        <v>910</v>
      </c>
    </row>
    <row r="45" spans="1:16" ht="27.6">
      <c r="A45" t="s">
        <v>782</v>
      </c>
      <c r="B45" s="18" t="s">
        <v>707</v>
      </c>
      <c r="C45" t="s">
        <v>1016</v>
      </c>
      <c r="D45" t="s">
        <v>841</v>
      </c>
      <c r="E45" t="s">
        <v>1</v>
      </c>
      <c r="F45" t="s">
        <v>841</v>
      </c>
      <c r="G45" s="21">
        <v>60</v>
      </c>
      <c r="H45" t="s">
        <v>2</v>
      </c>
      <c r="I45" s="26">
        <v>4699000</v>
      </c>
      <c r="J45">
        <v>0</v>
      </c>
      <c r="K45">
        <v>1</v>
      </c>
      <c r="L45">
        <v>0</v>
      </c>
      <c r="M45">
        <v>116</v>
      </c>
      <c r="N45">
        <v>4699000</v>
      </c>
      <c r="O45" s="16">
        <v>4699000</v>
      </c>
      <c r="P45" s="29" t="s">
        <v>911</v>
      </c>
    </row>
    <row r="46" spans="1:16" ht="27.6">
      <c r="A46" t="s">
        <v>783</v>
      </c>
      <c r="B46" s="18" t="s">
        <v>706</v>
      </c>
      <c r="C46" t="s">
        <v>1016</v>
      </c>
      <c r="D46" t="s">
        <v>846</v>
      </c>
      <c r="E46" t="s">
        <v>1</v>
      </c>
      <c r="F46" t="s">
        <v>846</v>
      </c>
      <c r="G46" s="21">
        <v>60</v>
      </c>
      <c r="H46" t="s">
        <v>2</v>
      </c>
      <c r="I46" s="26">
        <v>5199000</v>
      </c>
      <c r="J46">
        <v>0</v>
      </c>
      <c r="K46">
        <v>1</v>
      </c>
      <c r="L46">
        <v>0</v>
      </c>
      <c r="M46">
        <v>116</v>
      </c>
      <c r="N46">
        <v>5199000</v>
      </c>
      <c r="O46" s="16">
        <v>5199000</v>
      </c>
      <c r="P46" s="29" t="s">
        <v>912</v>
      </c>
    </row>
    <row r="47" spans="1:16" ht="27.6">
      <c r="A47" t="s">
        <v>784</v>
      </c>
      <c r="B47" s="18" t="s">
        <v>706</v>
      </c>
      <c r="C47" t="s">
        <v>1016</v>
      </c>
      <c r="D47" t="s">
        <v>846</v>
      </c>
      <c r="E47" t="s">
        <v>1</v>
      </c>
      <c r="F47" t="s">
        <v>846</v>
      </c>
      <c r="G47" s="21">
        <v>60</v>
      </c>
      <c r="H47" t="s">
        <v>2</v>
      </c>
      <c r="I47" s="26">
        <v>5199000</v>
      </c>
      <c r="J47">
        <v>0</v>
      </c>
      <c r="K47">
        <v>1</v>
      </c>
      <c r="L47">
        <v>0</v>
      </c>
      <c r="M47">
        <v>116</v>
      </c>
      <c r="N47">
        <v>5199000</v>
      </c>
      <c r="O47" s="16">
        <v>5199000</v>
      </c>
      <c r="P47" s="29" t="s">
        <v>913</v>
      </c>
    </row>
    <row r="48" spans="1:16" ht="27.6">
      <c r="A48" t="s">
        <v>785</v>
      </c>
      <c r="B48" s="18" t="s">
        <v>706</v>
      </c>
      <c r="C48" t="s">
        <v>1016</v>
      </c>
      <c r="D48" t="s">
        <v>846</v>
      </c>
      <c r="E48" t="s">
        <v>1</v>
      </c>
      <c r="F48" t="s">
        <v>846</v>
      </c>
      <c r="G48" s="21">
        <v>60</v>
      </c>
      <c r="H48" t="s">
        <v>2</v>
      </c>
      <c r="I48" s="26">
        <v>5199000</v>
      </c>
      <c r="J48">
        <v>0</v>
      </c>
      <c r="K48">
        <v>1</v>
      </c>
      <c r="L48">
        <v>0</v>
      </c>
      <c r="M48">
        <v>116</v>
      </c>
      <c r="N48">
        <v>5199000</v>
      </c>
      <c r="O48" s="16">
        <v>5199000</v>
      </c>
      <c r="P48" s="29" t="s">
        <v>914</v>
      </c>
    </row>
    <row r="49" spans="1:16" ht="27.6">
      <c r="A49" t="s">
        <v>786</v>
      </c>
      <c r="B49" s="18" t="s">
        <v>706</v>
      </c>
      <c r="C49" t="s">
        <v>1016</v>
      </c>
      <c r="D49" t="s">
        <v>846</v>
      </c>
      <c r="E49" t="s">
        <v>1</v>
      </c>
      <c r="F49" t="s">
        <v>846</v>
      </c>
      <c r="G49" s="21">
        <v>60</v>
      </c>
      <c r="H49" t="s">
        <v>2</v>
      </c>
      <c r="I49" s="26">
        <v>5199000</v>
      </c>
      <c r="J49">
        <v>0</v>
      </c>
      <c r="K49">
        <v>1</v>
      </c>
      <c r="L49">
        <v>0</v>
      </c>
      <c r="M49">
        <v>116</v>
      </c>
      <c r="N49">
        <v>5199000</v>
      </c>
      <c r="O49" s="16">
        <v>5199000</v>
      </c>
      <c r="P49" s="29" t="s">
        <v>915</v>
      </c>
    </row>
    <row r="50" spans="1:16" ht="27.6">
      <c r="A50" t="s">
        <v>787</v>
      </c>
      <c r="B50" s="18" t="s">
        <v>706</v>
      </c>
      <c r="C50" t="s">
        <v>1016</v>
      </c>
      <c r="D50" t="s">
        <v>846</v>
      </c>
      <c r="E50" t="s">
        <v>1</v>
      </c>
      <c r="F50" t="s">
        <v>846</v>
      </c>
      <c r="G50" s="21">
        <v>60</v>
      </c>
      <c r="H50" t="s">
        <v>2</v>
      </c>
      <c r="I50" s="26">
        <v>5199000</v>
      </c>
      <c r="J50">
        <v>0</v>
      </c>
      <c r="K50">
        <v>1</v>
      </c>
      <c r="L50">
        <v>0</v>
      </c>
      <c r="M50">
        <v>116</v>
      </c>
      <c r="N50">
        <v>5199000</v>
      </c>
      <c r="O50" s="16">
        <v>5199000</v>
      </c>
      <c r="P50" s="29" t="s">
        <v>916</v>
      </c>
    </row>
    <row r="51" spans="1:16" ht="27.6">
      <c r="A51" t="s">
        <v>788</v>
      </c>
      <c r="B51" s="18" t="s">
        <v>706</v>
      </c>
      <c r="C51" t="s">
        <v>1016</v>
      </c>
      <c r="D51" t="s">
        <v>846</v>
      </c>
      <c r="E51" t="s">
        <v>1</v>
      </c>
      <c r="F51" t="s">
        <v>846</v>
      </c>
      <c r="G51" s="21">
        <v>60</v>
      </c>
      <c r="H51" t="s">
        <v>2</v>
      </c>
      <c r="I51" s="26">
        <v>5199000</v>
      </c>
      <c r="J51">
        <v>0</v>
      </c>
      <c r="K51">
        <v>1</v>
      </c>
      <c r="L51">
        <v>0</v>
      </c>
      <c r="M51">
        <v>116</v>
      </c>
      <c r="N51">
        <v>5199000</v>
      </c>
      <c r="O51" s="16">
        <v>5199000</v>
      </c>
      <c r="P51" s="29" t="s">
        <v>917</v>
      </c>
    </row>
    <row r="52" spans="1:16" ht="27.6">
      <c r="A52" t="s">
        <v>789</v>
      </c>
      <c r="B52" s="18" t="s">
        <v>706</v>
      </c>
      <c r="C52" t="s">
        <v>1016</v>
      </c>
      <c r="D52" t="s">
        <v>846</v>
      </c>
      <c r="E52" t="s">
        <v>1</v>
      </c>
      <c r="F52" t="s">
        <v>846</v>
      </c>
      <c r="G52" s="21">
        <v>60</v>
      </c>
      <c r="H52" t="s">
        <v>2</v>
      </c>
      <c r="I52" s="26">
        <v>5199000</v>
      </c>
      <c r="J52">
        <v>0</v>
      </c>
      <c r="K52">
        <v>1</v>
      </c>
      <c r="L52">
        <v>0</v>
      </c>
      <c r="M52">
        <v>116</v>
      </c>
      <c r="N52">
        <v>5199000</v>
      </c>
      <c r="O52" s="16">
        <v>5199000</v>
      </c>
      <c r="P52" s="29" t="s">
        <v>918</v>
      </c>
    </row>
    <row r="53" spans="1:16" ht="27.6">
      <c r="A53" t="s">
        <v>790</v>
      </c>
      <c r="B53" s="18" t="s">
        <v>706</v>
      </c>
      <c r="C53" t="s">
        <v>1016</v>
      </c>
      <c r="D53" t="s">
        <v>846</v>
      </c>
      <c r="E53" t="s">
        <v>1</v>
      </c>
      <c r="F53" t="s">
        <v>846</v>
      </c>
      <c r="G53" s="21">
        <v>60</v>
      </c>
      <c r="H53" t="s">
        <v>2</v>
      </c>
      <c r="I53" s="26">
        <v>5199000</v>
      </c>
      <c r="J53">
        <v>0</v>
      </c>
      <c r="K53">
        <v>1</v>
      </c>
      <c r="L53">
        <v>0</v>
      </c>
      <c r="M53">
        <v>116</v>
      </c>
      <c r="N53">
        <v>5199000</v>
      </c>
      <c r="O53" s="16">
        <v>5199000</v>
      </c>
      <c r="P53" s="29" t="s">
        <v>919</v>
      </c>
    </row>
    <row r="54" spans="1:16" ht="27.6">
      <c r="A54" t="s">
        <v>791</v>
      </c>
      <c r="B54" s="18" t="s">
        <v>708</v>
      </c>
      <c r="C54" t="s">
        <v>1016</v>
      </c>
      <c r="D54" t="s">
        <v>847</v>
      </c>
      <c r="E54" t="s">
        <v>1</v>
      </c>
      <c r="F54" t="s">
        <v>847</v>
      </c>
      <c r="G54" s="21">
        <v>60</v>
      </c>
      <c r="H54" t="s">
        <v>2</v>
      </c>
      <c r="I54" s="26">
        <v>1990000</v>
      </c>
      <c r="J54">
        <v>0</v>
      </c>
      <c r="K54">
        <v>1</v>
      </c>
      <c r="L54">
        <v>0</v>
      </c>
      <c r="M54">
        <v>116</v>
      </c>
      <c r="N54">
        <v>1990000</v>
      </c>
      <c r="O54" s="16">
        <v>1990000</v>
      </c>
      <c r="P54" s="29" t="s">
        <v>920</v>
      </c>
    </row>
    <row r="55" spans="1:16" ht="27.6">
      <c r="A55" t="s">
        <v>792</v>
      </c>
      <c r="B55" s="18" t="s">
        <v>710</v>
      </c>
      <c r="C55" t="s">
        <v>1016</v>
      </c>
      <c r="D55" t="s">
        <v>575</v>
      </c>
      <c r="E55" t="s">
        <v>1</v>
      </c>
      <c r="F55" t="s">
        <v>575</v>
      </c>
      <c r="G55" s="21">
        <v>60</v>
      </c>
      <c r="H55" t="s">
        <v>2</v>
      </c>
      <c r="I55" s="26">
        <v>5442500</v>
      </c>
      <c r="J55">
        <v>0</v>
      </c>
      <c r="K55">
        <v>1</v>
      </c>
      <c r="L55">
        <v>0</v>
      </c>
      <c r="M55">
        <v>116</v>
      </c>
      <c r="N55">
        <v>5442500</v>
      </c>
      <c r="O55" s="16">
        <v>5442500</v>
      </c>
      <c r="P55" s="29" t="s">
        <v>921</v>
      </c>
    </row>
    <row r="56" spans="1:16" ht="27.6">
      <c r="A56" t="s">
        <v>793</v>
      </c>
      <c r="B56" s="18" t="s">
        <v>709</v>
      </c>
      <c r="C56" t="s">
        <v>1016</v>
      </c>
      <c r="D56" t="s">
        <v>575</v>
      </c>
      <c r="E56" t="s">
        <v>1</v>
      </c>
      <c r="F56" t="s">
        <v>575</v>
      </c>
      <c r="G56" s="21">
        <v>60</v>
      </c>
      <c r="H56" t="s">
        <v>2</v>
      </c>
      <c r="I56" s="26">
        <v>4448000</v>
      </c>
      <c r="J56">
        <v>0</v>
      </c>
      <c r="K56">
        <v>1</v>
      </c>
      <c r="L56">
        <v>0</v>
      </c>
      <c r="M56">
        <v>116</v>
      </c>
      <c r="N56">
        <v>4448000</v>
      </c>
      <c r="O56" s="16">
        <v>4448000</v>
      </c>
      <c r="P56" s="29" t="s">
        <v>922</v>
      </c>
    </row>
    <row r="57" spans="1:16" ht="27.6">
      <c r="A57" t="s">
        <v>794</v>
      </c>
      <c r="B57" s="18" t="s">
        <v>709</v>
      </c>
      <c r="C57" t="s">
        <v>1016</v>
      </c>
      <c r="D57" t="s">
        <v>575</v>
      </c>
      <c r="E57" t="s">
        <v>1</v>
      </c>
      <c r="F57" t="s">
        <v>575</v>
      </c>
      <c r="G57" s="21">
        <v>60</v>
      </c>
      <c r="H57" t="s">
        <v>2</v>
      </c>
      <c r="I57" s="26">
        <v>4448000</v>
      </c>
      <c r="J57">
        <v>0</v>
      </c>
      <c r="K57">
        <v>1</v>
      </c>
      <c r="L57">
        <v>0</v>
      </c>
      <c r="M57">
        <v>116</v>
      </c>
      <c r="N57">
        <v>4448000</v>
      </c>
      <c r="O57" s="16">
        <v>4448000</v>
      </c>
      <c r="P57" s="29" t="s">
        <v>923</v>
      </c>
    </row>
    <row r="58" spans="1:16" ht="27.6">
      <c r="A58" t="s">
        <v>795</v>
      </c>
      <c r="B58" s="18" t="s">
        <v>712</v>
      </c>
      <c r="C58" t="s">
        <v>1016</v>
      </c>
      <c r="D58" t="s">
        <v>575</v>
      </c>
      <c r="E58" t="s">
        <v>1</v>
      </c>
      <c r="F58" t="s">
        <v>575</v>
      </c>
      <c r="G58" s="21">
        <v>60</v>
      </c>
      <c r="H58" t="s">
        <v>2</v>
      </c>
      <c r="I58" s="26">
        <v>5442500</v>
      </c>
      <c r="J58">
        <v>0</v>
      </c>
      <c r="K58">
        <v>1</v>
      </c>
      <c r="L58">
        <v>0</v>
      </c>
      <c r="M58">
        <v>116</v>
      </c>
      <c r="N58">
        <v>5442500</v>
      </c>
      <c r="O58" s="16">
        <v>5442500</v>
      </c>
      <c r="P58" s="29" t="s">
        <v>924</v>
      </c>
    </row>
    <row r="59" spans="1:16" ht="27.6">
      <c r="A59" t="s">
        <v>796</v>
      </c>
      <c r="B59" s="18" t="s">
        <v>707</v>
      </c>
      <c r="C59" t="s">
        <v>1016</v>
      </c>
      <c r="D59" t="s">
        <v>575</v>
      </c>
      <c r="E59" t="s">
        <v>1</v>
      </c>
      <c r="F59" t="s">
        <v>575</v>
      </c>
      <c r="G59" s="21">
        <v>60</v>
      </c>
      <c r="H59" t="s">
        <v>2</v>
      </c>
      <c r="I59" s="26">
        <v>5442500</v>
      </c>
      <c r="J59">
        <v>0</v>
      </c>
      <c r="K59">
        <v>1</v>
      </c>
      <c r="L59">
        <v>0</v>
      </c>
      <c r="M59">
        <v>116</v>
      </c>
      <c r="N59">
        <v>5442500</v>
      </c>
      <c r="O59" s="16">
        <v>5442500</v>
      </c>
      <c r="P59" s="29" t="s">
        <v>925</v>
      </c>
    </row>
    <row r="60" spans="1:16" ht="27.6">
      <c r="A60" t="s">
        <v>797</v>
      </c>
      <c r="B60" s="18" t="s">
        <v>707</v>
      </c>
      <c r="C60" t="s">
        <v>1016</v>
      </c>
      <c r="D60" t="s">
        <v>575</v>
      </c>
      <c r="E60" t="s">
        <v>1</v>
      </c>
      <c r="F60" t="s">
        <v>575</v>
      </c>
      <c r="G60" s="21">
        <v>60</v>
      </c>
      <c r="H60" t="s">
        <v>2</v>
      </c>
      <c r="I60" s="26">
        <v>5442500</v>
      </c>
      <c r="J60">
        <v>0</v>
      </c>
      <c r="K60">
        <v>1</v>
      </c>
      <c r="L60">
        <v>0</v>
      </c>
      <c r="M60">
        <v>116</v>
      </c>
      <c r="N60">
        <v>5442500</v>
      </c>
      <c r="O60" s="16">
        <v>5442500</v>
      </c>
      <c r="P60" s="29" t="s">
        <v>926</v>
      </c>
    </row>
    <row r="61" spans="1:16" ht="27.6">
      <c r="A61" t="s">
        <v>798</v>
      </c>
      <c r="B61" s="18" t="s">
        <v>707</v>
      </c>
      <c r="C61" t="s">
        <v>1016</v>
      </c>
      <c r="D61" t="s">
        <v>575</v>
      </c>
      <c r="E61" t="s">
        <v>1</v>
      </c>
      <c r="F61" t="s">
        <v>575</v>
      </c>
      <c r="G61" s="21">
        <v>60</v>
      </c>
      <c r="H61" t="s">
        <v>2</v>
      </c>
      <c r="I61" s="26">
        <v>5442500</v>
      </c>
      <c r="J61">
        <v>0</v>
      </c>
      <c r="K61">
        <v>1</v>
      </c>
      <c r="L61">
        <v>0</v>
      </c>
      <c r="M61">
        <v>116</v>
      </c>
      <c r="N61">
        <v>5442500</v>
      </c>
      <c r="O61" s="16">
        <v>5442500</v>
      </c>
      <c r="P61" s="29" t="s">
        <v>927</v>
      </c>
    </row>
    <row r="62" spans="1:16" ht="27.6">
      <c r="A62" t="s">
        <v>799</v>
      </c>
      <c r="B62" s="18" t="s">
        <v>707</v>
      </c>
      <c r="C62" t="s">
        <v>1016</v>
      </c>
      <c r="D62" t="s">
        <v>575</v>
      </c>
      <c r="E62" t="s">
        <v>1</v>
      </c>
      <c r="F62" t="s">
        <v>575</v>
      </c>
      <c r="G62" s="21">
        <v>60</v>
      </c>
      <c r="H62" t="s">
        <v>2</v>
      </c>
      <c r="I62" s="26">
        <v>5442500</v>
      </c>
      <c r="J62">
        <v>0</v>
      </c>
      <c r="K62">
        <v>1</v>
      </c>
      <c r="L62">
        <v>0</v>
      </c>
      <c r="M62">
        <v>116</v>
      </c>
      <c r="N62">
        <v>5442500</v>
      </c>
      <c r="O62" s="16">
        <v>5442500</v>
      </c>
      <c r="P62" s="29" t="s">
        <v>928</v>
      </c>
    </row>
    <row r="63" spans="1:16" ht="27.6">
      <c r="A63" t="s">
        <v>800</v>
      </c>
      <c r="B63" s="18" t="s">
        <v>713</v>
      </c>
      <c r="C63" t="s">
        <v>1016</v>
      </c>
      <c r="D63" t="s">
        <v>575</v>
      </c>
      <c r="E63" t="s">
        <v>1</v>
      </c>
      <c r="F63" t="s">
        <v>575</v>
      </c>
      <c r="G63" s="21">
        <v>60</v>
      </c>
      <c r="H63" t="s">
        <v>2</v>
      </c>
      <c r="I63" s="26">
        <v>4800000</v>
      </c>
      <c r="J63">
        <v>0</v>
      </c>
      <c r="K63">
        <v>1</v>
      </c>
      <c r="L63">
        <v>0</v>
      </c>
      <c r="M63">
        <v>116</v>
      </c>
      <c r="N63">
        <v>4800000</v>
      </c>
      <c r="O63" s="16">
        <v>4800000</v>
      </c>
      <c r="P63" s="29" t="s">
        <v>929</v>
      </c>
    </row>
    <row r="64" spans="1:16" ht="27.6">
      <c r="A64" t="s">
        <v>801</v>
      </c>
      <c r="B64" s="18" t="s">
        <v>714</v>
      </c>
      <c r="C64" t="s">
        <v>1016</v>
      </c>
      <c r="D64" t="s">
        <v>575</v>
      </c>
      <c r="E64" t="s">
        <v>1</v>
      </c>
      <c r="F64" t="s">
        <v>575</v>
      </c>
      <c r="G64" s="21">
        <v>60</v>
      </c>
      <c r="H64" t="s">
        <v>2</v>
      </c>
      <c r="I64" s="26">
        <v>2000000</v>
      </c>
      <c r="J64">
        <v>0</v>
      </c>
      <c r="K64">
        <v>1</v>
      </c>
      <c r="L64">
        <v>0</v>
      </c>
      <c r="M64">
        <v>116</v>
      </c>
      <c r="N64">
        <v>2000000</v>
      </c>
      <c r="O64" s="16">
        <v>2000000</v>
      </c>
      <c r="P64" s="29" t="s">
        <v>930</v>
      </c>
    </row>
    <row r="65" spans="1:16" ht="27.6">
      <c r="A65" t="s">
        <v>802</v>
      </c>
      <c r="B65" s="18" t="s">
        <v>707</v>
      </c>
      <c r="C65" t="s">
        <v>1016</v>
      </c>
      <c r="D65" t="s">
        <v>575</v>
      </c>
      <c r="E65" t="s">
        <v>1</v>
      </c>
      <c r="F65" t="s">
        <v>575</v>
      </c>
      <c r="G65" s="21">
        <v>60</v>
      </c>
      <c r="H65" t="s">
        <v>2</v>
      </c>
      <c r="I65" s="26">
        <v>5442500</v>
      </c>
      <c r="J65">
        <v>0</v>
      </c>
      <c r="K65">
        <v>1</v>
      </c>
      <c r="L65">
        <v>0</v>
      </c>
      <c r="M65">
        <v>116</v>
      </c>
      <c r="N65">
        <v>5442500</v>
      </c>
      <c r="O65" s="16">
        <v>5442500</v>
      </c>
      <c r="P65" s="29" t="s">
        <v>931</v>
      </c>
    </row>
    <row r="66" spans="1:16" ht="27.6">
      <c r="A66" t="s">
        <v>803</v>
      </c>
      <c r="B66" s="18" t="s">
        <v>707</v>
      </c>
      <c r="C66" t="s">
        <v>1016</v>
      </c>
      <c r="D66" t="s">
        <v>575</v>
      </c>
      <c r="E66" t="s">
        <v>1</v>
      </c>
      <c r="F66" t="s">
        <v>575</v>
      </c>
      <c r="G66" s="21">
        <v>60</v>
      </c>
      <c r="H66" t="s">
        <v>2</v>
      </c>
      <c r="I66" s="26">
        <v>5442500</v>
      </c>
      <c r="J66">
        <v>0</v>
      </c>
      <c r="K66">
        <v>1</v>
      </c>
      <c r="L66">
        <v>0</v>
      </c>
      <c r="M66">
        <v>116</v>
      </c>
      <c r="N66">
        <v>5442500</v>
      </c>
      <c r="O66" s="16">
        <v>5442500</v>
      </c>
      <c r="P66" s="29" t="s">
        <v>932</v>
      </c>
    </row>
    <row r="67" spans="1:16" ht="27.6">
      <c r="A67" t="s">
        <v>804</v>
      </c>
      <c r="B67" s="18" t="s">
        <v>710</v>
      </c>
      <c r="C67" t="s">
        <v>1016</v>
      </c>
      <c r="D67" t="s">
        <v>575</v>
      </c>
      <c r="E67" t="s">
        <v>1</v>
      </c>
      <c r="F67" t="s">
        <v>575</v>
      </c>
      <c r="G67" s="21">
        <v>60</v>
      </c>
      <c r="H67" t="s">
        <v>2</v>
      </c>
      <c r="I67" s="26">
        <v>1461700</v>
      </c>
      <c r="J67">
        <v>0</v>
      </c>
      <c r="K67">
        <v>1</v>
      </c>
      <c r="L67">
        <v>0</v>
      </c>
      <c r="M67">
        <v>116</v>
      </c>
      <c r="N67">
        <v>1461700</v>
      </c>
      <c r="O67" s="16">
        <v>1461700</v>
      </c>
      <c r="P67" s="29" t="s">
        <v>933</v>
      </c>
    </row>
    <row r="68" spans="1:16" ht="27.6">
      <c r="A68" t="s">
        <v>805</v>
      </c>
      <c r="B68" s="18" t="s">
        <v>712</v>
      </c>
      <c r="C68" t="s">
        <v>1016</v>
      </c>
      <c r="D68" t="s">
        <v>575</v>
      </c>
      <c r="E68" t="s">
        <v>1</v>
      </c>
      <c r="F68" t="s">
        <v>575</v>
      </c>
      <c r="G68" s="21">
        <v>60</v>
      </c>
      <c r="H68" t="s">
        <v>2</v>
      </c>
      <c r="I68" s="26">
        <v>1461700</v>
      </c>
      <c r="J68">
        <v>0</v>
      </c>
      <c r="K68">
        <v>1</v>
      </c>
      <c r="L68">
        <v>0</v>
      </c>
      <c r="M68">
        <v>116</v>
      </c>
      <c r="N68">
        <v>1461700</v>
      </c>
      <c r="O68" s="16">
        <v>1461700</v>
      </c>
      <c r="P68" s="29" t="s">
        <v>934</v>
      </c>
    </row>
    <row r="69" spans="1:16" ht="27.6">
      <c r="A69" t="s">
        <v>806</v>
      </c>
      <c r="B69" s="18" t="s">
        <v>715</v>
      </c>
      <c r="C69" t="s">
        <v>1016</v>
      </c>
      <c r="D69" t="s">
        <v>848</v>
      </c>
      <c r="E69" t="s">
        <v>1</v>
      </c>
      <c r="F69" t="s">
        <v>848</v>
      </c>
      <c r="G69" s="21">
        <v>60</v>
      </c>
      <c r="H69" t="s">
        <v>2</v>
      </c>
      <c r="I69" s="26">
        <v>1499000</v>
      </c>
      <c r="J69">
        <v>0</v>
      </c>
      <c r="K69">
        <v>1</v>
      </c>
      <c r="L69">
        <v>0</v>
      </c>
      <c r="M69">
        <v>116</v>
      </c>
      <c r="N69">
        <v>1499000</v>
      </c>
      <c r="O69" s="16">
        <v>1499000</v>
      </c>
      <c r="P69" s="29" t="s">
        <v>935</v>
      </c>
    </row>
    <row r="70" spans="1:16" ht="27.6">
      <c r="A70" t="s">
        <v>807</v>
      </c>
      <c r="B70" s="18" t="s">
        <v>716</v>
      </c>
      <c r="C70" t="s">
        <v>1016</v>
      </c>
      <c r="D70" t="s">
        <v>849</v>
      </c>
      <c r="E70" t="s">
        <v>1</v>
      </c>
      <c r="F70" t="s">
        <v>849</v>
      </c>
      <c r="G70" s="21">
        <v>60</v>
      </c>
      <c r="H70" t="s">
        <v>2</v>
      </c>
      <c r="I70" s="26">
        <v>5526000</v>
      </c>
      <c r="J70">
        <v>0</v>
      </c>
      <c r="K70">
        <v>1</v>
      </c>
      <c r="L70">
        <v>1</v>
      </c>
      <c r="M70">
        <v>116</v>
      </c>
      <c r="N70">
        <v>5359463.01</v>
      </c>
      <c r="O70" s="16">
        <v>5526000</v>
      </c>
      <c r="P70" s="29" t="s">
        <v>936</v>
      </c>
    </row>
    <row r="71" spans="1:16" ht="27.6">
      <c r="A71" t="s">
        <v>808</v>
      </c>
      <c r="B71" s="18" t="s">
        <v>717</v>
      </c>
      <c r="C71" t="s">
        <v>1016</v>
      </c>
      <c r="D71" t="s">
        <v>850</v>
      </c>
      <c r="E71" t="s">
        <v>1</v>
      </c>
      <c r="F71" t="s">
        <v>850</v>
      </c>
      <c r="G71" s="21">
        <v>60</v>
      </c>
      <c r="H71" t="s">
        <v>2</v>
      </c>
      <c r="I71" s="26">
        <v>1980000</v>
      </c>
      <c r="J71">
        <v>0</v>
      </c>
      <c r="K71">
        <v>1</v>
      </c>
      <c r="L71">
        <v>3</v>
      </c>
      <c r="M71">
        <v>116</v>
      </c>
      <c r="N71">
        <v>1876931.51</v>
      </c>
      <c r="O71" s="16">
        <v>1980000</v>
      </c>
      <c r="P71" s="29" t="s">
        <v>937</v>
      </c>
    </row>
    <row r="72" spans="1:16" ht="27.6">
      <c r="A72" t="s">
        <v>809</v>
      </c>
      <c r="B72" s="18" t="s">
        <v>718</v>
      </c>
      <c r="C72" t="s">
        <v>1016</v>
      </c>
      <c r="D72" t="s">
        <v>851</v>
      </c>
      <c r="E72" t="s">
        <v>1</v>
      </c>
      <c r="F72" t="s">
        <v>851</v>
      </c>
      <c r="G72" s="21">
        <v>60</v>
      </c>
      <c r="H72" t="s">
        <v>2</v>
      </c>
      <c r="I72" s="26">
        <v>4799000</v>
      </c>
      <c r="J72">
        <v>0</v>
      </c>
      <c r="K72">
        <v>1</v>
      </c>
      <c r="L72">
        <v>7</v>
      </c>
      <c r="M72">
        <v>116</v>
      </c>
      <c r="N72">
        <v>4231008.7699999996</v>
      </c>
      <c r="O72" s="16">
        <v>4799000</v>
      </c>
      <c r="P72" s="29" t="s">
        <v>938</v>
      </c>
    </row>
    <row r="73" spans="1:16" ht="27.6">
      <c r="A73" t="s">
        <v>810</v>
      </c>
      <c r="B73" s="18" t="s">
        <v>719</v>
      </c>
      <c r="C73" t="s">
        <v>1016</v>
      </c>
      <c r="D73" t="s">
        <v>852</v>
      </c>
      <c r="E73" t="s">
        <v>1</v>
      </c>
      <c r="F73" t="s">
        <v>852</v>
      </c>
      <c r="G73" s="21">
        <v>60</v>
      </c>
      <c r="H73" t="s">
        <v>2</v>
      </c>
      <c r="I73" s="26">
        <v>5939841</v>
      </c>
      <c r="J73">
        <v>0</v>
      </c>
      <c r="K73">
        <v>1</v>
      </c>
      <c r="L73">
        <v>3</v>
      </c>
      <c r="M73">
        <v>116</v>
      </c>
      <c r="N73">
        <v>5555785.5300000003</v>
      </c>
      <c r="O73" s="16">
        <v>5939841</v>
      </c>
      <c r="P73" s="29" t="s">
        <v>939</v>
      </c>
    </row>
    <row r="74" spans="1:16" ht="27.6">
      <c r="A74" t="s">
        <v>811</v>
      </c>
      <c r="B74" s="18" t="s">
        <v>720</v>
      </c>
      <c r="C74" t="s">
        <v>1016</v>
      </c>
      <c r="D74" t="s">
        <v>853</v>
      </c>
      <c r="E74" t="s">
        <v>1</v>
      </c>
      <c r="F74" t="s">
        <v>853</v>
      </c>
      <c r="G74" s="21">
        <v>60</v>
      </c>
      <c r="H74" t="s">
        <v>2</v>
      </c>
      <c r="I74" s="26">
        <v>2350000</v>
      </c>
      <c r="J74">
        <v>0</v>
      </c>
      <c r="K74">
        <v>1</v>
      </c>
      <c r="L74">
        <v>5</v>
      </c>
      <c r="M74">
        <v>116</v>
      </c>
      <c r="N74">
        <v>2134958.9</v>
      </c>
      <c r="O74" s="16">
        <v>2350000</v>
      </c>
      <c r="P74" s="29" t="s">
        <v>940</v>
      </c>
    </row>
    <row r="75" spans="1:16" ht="27.6">
      <c r="A75" t="s">
        <v>812</v>
      </c>
      <c r="B75" s="18" t="s">
        <v>721</v>
      </c>
      <c r="C75" t="s">
        <v>1016</v>
      </c>
      <c r="D75" t="s">
        <v>853</v>
      </c>
      <c r="E75" t="s">
        <v>1</v>
      </c>
      <c r="F75" t="s">
        <v>853</v>
      </c>
      <c r="G75" s="21">
        <v>60</v>
      </c>
      <c r="H75" t="s">
        <v>2</v>
      </c>
      <c r="I75" s="26">
        <v>7599000</v>
      </c>
      <c r="J75">
        <v>0</v>
      </c>
      <c r="K75">
        <v>1</v>
      </c>
      <c r="L75">
        <v>5</v>
      </c>
      <c r="M75">
        <v>116</v>
      </c>
      <c r="N75">
        <v>6903639.4500000002</v>
      </c>
      <c r="O75" s="16">
        <v>7599000</v>
      </c>
      <c r="P75" s="29" t="s">
        <v>941</v>
      </c>
    </row>
    <row r="76" spans="1:16" ht="27.6">
      <c r="A76" t="s">
        <v>813</v>
      </c>
      <c r="B76" s="18" t="s">
        <v>722</v>
      </c>
      <c r="C76" t="s">
        <v>1016</v>
      </c>
      <c r="D76" t="s">
        <v>853</v>
      </c>
      <c r="E76" t="s">
        <v>1</v>
      </c>
      <c r="F76" t="s">
        <v>853</v>
      </c>
      <c r="G76" s="21">
        <v>60</v>
      </c>
      <c r="H76" t="s">
        <v>2</v>
      </c>
      <c r="I76" s="26">
        <v>2400000</v>
      </c>
      <c r="J76">
        <v>0</v>
      </c>
      <c r="K76">
        <v>1</v>
      </c>
      <c r="L76">
        <v>5</v>
      </c>
      <c r="M76">
        <v>116</v>
      </c>
      <c r="N76">
        <v>2180383.56</v>
      </c>
      <c r="O76" s="16">
        <v>2400000</v>
      </c>
      <c r="P76" s="29" t="s">
        <v>942</v>
      </c>
    </row>
    <row r="77" spans="1:16" ht="27.6">
      <c r="A77" t="s">
        <v>814</v>
      </c>
      <c r="B77" s="18" t="s">
        <v>723</v>
      </c>
      <c r="C77" t="s">
        <v>1016</v>
      </c>
      <c r="D77" t="s">
        <v>854</v>
      </c>
      <c r="E77" t="s">
        <v>1</v>
      </c>
      <c r="F77" t="s">
        <v>854</v>
      </c>
      <c r="G77" s="21">
        <v>60</v>
      </c>
      <c r="H77" t="s">
        <v>2</v>
      </c>
      <c r="I77" s="26">
        <v>4899000</v>
      </c>
      <c r="J77">
        <v>0</v>
      </c>
      <c r="K77">
        <v>1</v>
      </c>
      <c r="L77">
        <v>14</v>
      </c>
      <c r="M77">
        <v>116</v>
      </c>
      <c r="N77">
        <v>3699080.55</v>
      </c>
      <c r="O77" s="16">
        <v>4899000</v>
      </c>
      <c r="P77" s="29" t="s">
        <v>943</v>
      </c>
    </row>
    <row r="78" spans="1:16" ht="27.6">
      <c r="A78" t="s">
        <v>815</v>
      </c>
      <c r="B78" s="18" t="s">
        <v>1027</v>
      </c>
      <c r="C78" t="s">
        <v>1016</v>
      </c>
      <c r="D78" t="s">
        <v>587</v>
      </c>
      <c r="E78" t="s">
        <v>1</v>
      </c>
      <c r="F78" t="s">
        <v>587</v>
      </c>
      <c r="G78" s="21">
        <v>60</v>
      </c>
      <c r="H78" t="s">
        <v>2</v>
      </c>
      <c r="I78" s="26">
        <v>8998000</v>
      </c>
      <c r="J78">
        <v>0</v>
      </c>
      <c r="K78">
        <v>1</v>
      </c>
      <c r="L78">
        <v>15</v>
      </c>
      <c r="M78">
        <v>116</v>
      </c>
      <c r="N78">
        <v>6734941.3700000001</v>
      </c>
      <c r="O78" s="16">
        <v>8998000</v>
      </c>
      <c r="P78" s="29" t="s">
        <v>944</v>
      </c>
    </row>
    <row r="79" spans="1:16" ht="27.6">
      <c r="A79" t="s">
        <v>816</v>
      </c>
      <c r="B79" s="18" t="s">
        <v>725</v>
      </c>
      <c r="C79" t="s">
        <v>1016</v>
      </c>
      <c r="D79" t="s">
        <v>855</v>
      </c>
      <c r="E79" t="s">
        <v>1</v>
      </c>
      <c r="F79" t="s">
        <v>855</v>
      </c>
      <c r="G79" s="21">
        <v>60</v>
      </c>
      <c r="H79" t="s">
        <v>2</v>
      </c>
      <c r="I79" s="26">
        <v>16443628</v>
      </c>
      <c r="J79">
        <v>0</v>
      </c>
      <c r="K79">
        <v>1</v>
      </c>
      <c r="L79">
        <v>17</v>
      </c>
      <c r="M79">
        <v>116</v>
      </c>
      <c r="N79">
        <v>11740299.880000001</v>
      </c>
      <c r="O79" s="16">
        <v>16443628</v>
      </c>
      <c r="P79" s="29" t="s">
        <v>945</v>
      </c>
    </row>
    <row r="80" spans="1:16" ht="27.6">
      <c r="A80" t="s">
        <v>817</v>
      </c>
      <c r="B80" s="18" t="s">
        <v>726</v>
      </c>
      <c r="C80" t="s">
        <v>1016</v>
      </c>
      <c r="D80" t="s">
        <v>856</v>
      </c>
      <c r="E80" t="s">
        <v>1</v>
      </c>
      <c r="F80" t="s">
        <v>856</v>
      </c>
      <c r="G80" s="21">
        <v>60</v>
      </c>
      <c r="H80" t="s">
        <v>2</v>
      </c>
      <c r="I80" s="26">
        <v>13999000</v>
      </c>
      <c r="J80">
        <v>0</v>
      </c>
      <c r="K80">
        <v>1</v>
      </c>
      <c r="L80">
        <v>26</v>
      </c>
      <c r="M80">
        <v>116</v>
      </c>
      <c r="N80">
        <v>7900805.4800000004</v>
      </c>
      <c r="O80" s="16">
        <v>13999000</v>
      </c>
      <c r="P80" s="29" t="s">
        <v>946</v>
      </c>
    </row>
    <row r="81" spans="1:16" ht="27.6">
      <c r="A81" t="s">
        <v>818</v>
      </c>
      <c r="B81" s="18" t="s">
        <v>727</v>
      </c>
      <c r="C81" t="s">
        <v>1016</v>
      </c>
      <c r="D81" t="s">
        <v>857</v>
      </c>
      <c r="E81" t="s">
        <v>1</v>
      </c>
      <c r="F81" t="s">
        <v>857</v>
      </c>
      <c r="G81" s="21">
        <v>60</v>
      </c>
      <c r="H81" t="s">
        <v>2</v>
      </c>
      <c r="I81" s="26">
        <v>18896000</v>
      </c>
      <c r="J81">
        <v>0</v>
      </c>
      <c r="K81">
        <v>1</v>
      </c>
      <c r="L81">
        <v>33</v>
      </c>
      <c r="M81">
        <v>116</v>
      </c>
      <c r="N81">
        <v>8345301.9199999999</v>
      </c>
      <c r="O81" s="16">
        <v>18896000</v>
      </c>
      <c r="P81" s="29" t="s">
        <v>947</v>
      </c>
    </row>
    <row r="82" spans="1:16" ht="27.6">
      <c r="A82" t="s">
        <v>819</v>
      </c>
      <c r="B82" s="18" t="s">
        <v>728</v>
      </c>
      <c r="C82" t="s">
        <v>1016</v>
      </c>
      <c r="D82" t="s">
        <v>858</v>
      </c>
      <c r="E82" t="s">
        <v>1</v>
      </c>
      <c r="F82" t="s">
        <v>858</v>
      </c>
      <c r="G82" s="21">
        <v>60</v>
      </c>
      <c r="H82" t="s">
        <v>2</v>
      </c>
      <c r="I82" s="26">
        <v>18642965</v>
      </c>
      <c r="J82">
        <v>0</v>
      </c>
      <c r="K82">
        <v>1</v>
      </c>
      <c r="L82">
        <v>47</v>
      </c>
      <c r="M82">
        <v>116</v>
      </c>
      <c r="N82">
        <v>3810315.59</v>
      </c>
      <c r="O82" s="16">
        <v>18642965</v>
      </c>
      <c r="P82" s="29" t="s">
        <v>948</v>
      </c>
    </row>
    <row r="83" spans="1:16" ht="27.6">
      <c r="A83" t="s">
        <v>820</v>
      </c>
      <c r="B83" s="18" t="s">
        <v>729</v>
      </c>
      <c r="C83" t="s">
        <v>1016</v>
      </c>
      <c r="D83" t="s">
        <v>859</v>
      </c>
      <c r="E83" t="s">
        <v>1</v>
      </c>
      <c r="F83" t="s">
        <v>859</v>
      </c>
      <c r="G83" s="21">
        <v>60</v>
      </c>
      <c r="H83" t="s">
        <v>2</v>
      </c>
      <c r="I83" s="26">
        <v>10010000</v>
      </c>
      <c r="J83">
        <v>0</v>
      </c>
      <c r="K83">
        <v>1</v>
      </c>
      <c r="L83">
        <v>49</v>
      </c>
      <c r="M83">
        <v>116</v>
      </c>
      <c r="N83">
        <v>1760663.01</v>
      </c>
      <c r="O83" s="16">
        <v>10010000</v>
      </c>
      <c r="P83" s="29" t="s">
        <v>949</v>
      </c>
    </row>
    <row r="84" spans="1:16" ht="27.6">
      <c r="A84" t="s">
        <v>821</v>
      </c>
      <c r="B84" s="35" t="s">
        <v>730</v>
      </c>
      <c r="C84" t="s">
        <v>1016</v>
      </c>
      <c r="D84" t="s">
        <v>860</v>
      </c>
      <c r="E84" t="s">
        <v>1</v>
      </c>
      <c r="F84" t="s">
        <v>860</v>
      </c>
      <c r="G84" s="21">
        <v>60</v>
      </c>
      <c r="H84" t="s">
        <v>2</v>
      </c>
      <c r="I84" s="26">
        <v>13167000</v>
      </c>
      <c r="J84">
        <v>0</v>
      </c>
      <c r="K84">
        <v>1</v>
      </c>
      <c r="L84">
        <v>50</v>
      </c>
      <c r="M84">
        <v>116</v>
      </c>
      <c r="N84">
        <v>2157223.56</v>
      </c>
      <c r="O84" s="16">
        <v>13167000</v>
      </c>
      <c r="P84" s="29" t="s">
        <v>950</v>
      </c>
    </row>
    <row r="85" spans="1:16" ht="27.6">
      <c r="A85" t="s">
        <v>822</v>
      </c>
      <c r="B85" s="18" t="s">
        <v>731</v>
      </c>
      <c r="C85" t="s">
        <v>1016</v>
      </c>
      <c r="D85" t="s">
        <v>861</v>
      </c>
      <c r="E85" t="s">
        <v>1</v>
      </c>
      <c r="F85" t="s">
        <v>861</v>
      </c>
      <c r="G85" s="21">
        <v>60</v>
      </c>
      <c r="H85" t="s">
        <v>2</v>
      </c>
      <c r="I85" s="26">
        <v>1952500</v>
      </c>
      <c r="J85">
        <v>0</v>
      </c>
      <c r="K85">
        <v>1</v>
      </c>
      <c r="L85">
        <v>52</v>
      </c>
      <c r="M85">
        <v>116</v>
      </c>
      <c r="N85">
        <v>246068.49</v>
      </c>
      <c r="O85" s="16">
        <v>1952500</v>
      </c>
      <c r="P85" s="29" t="s">
        <v>951</v>
      </c>
    </row>
    <row r="86" spans="1:16" ht="27.6">
      <c r="A86" t="s">
        <v>823</v>
      </c>
      <c r="B86" s="18" t="s">
        <v>732</v>
      </c>
      <c r="C86" t="s">
        <v>1016</v>
      </c>
      <c r="D86" t="s">
        <v>596</v>
      </c>
      <c r="E86" t="s">
        <v>1</v>
      </c>
      <c r="F86" t="s">
        <v>596</v>
      </c>
      <c r="G86" s="21">
        <v>60</v>
      </c>
      <c r="H86" t="s">
        <v>2</v>
      </c>
      <c r="I86" s="26">
        <v>2805000</v>
      </c>
      <c r="J86">
        <v>0</v>
      </c>
      <c r="K86">
        <v>1</v>
      </c>
      <c r="L86">
        <v>52</v>
      </c>
      <c r="M86">
        <v>116</v>
      </c>
      <c r="N86">
        <v>333526.03000000003</v>
      </c>
      <c r="O86" s="16">
        <v>2805000</v>
      </c>
      <c r="P86" s="29" t="s">
        <v>952</v>
      </c>
    </row>
    <row r="87" spans="1:16" ht="27.6">
      <c r="A87" t="s">
        <v>824</v>
      </c>
      <c r="B87" s="25" t="s">
        <v>733</v>
      </c>
      <c r="C87" t="s">
        <v>1016</v>
      </c>
      <c r="D87" t="s">
        <v>862</v>
      </c>
      <c r="E87" t="s">
        <v>1</v>
      </c>
      <c r="F87" t="s">
        <v>862</v>
      </c>
      <c r="G87" s="21">
        <v>60</v>
      </c>
      <c r="H87" t="s">
        <v>2</v>
      </c>
      <c r="I87" s="27">
        <v>23760000</v>
      </c>
      <c r="J87">
        <v>0</v>
      </c>
      <c r="K87">
        <v>1</v>
      </c>
      <c r="L87">
        <v>53</v>
      </c>
      <c r="M87">
        <v>116</v>
      </c>
      <c r="N87">
        <v>2629873.9700000002</v>
      </c>
      <c r="O87" s="16">
        <v>23760000</v>
      </c>
      <c r="P87" s="29" t="s">
        <v>953</v>
      </c>
    </row>
    <row r="88" spans="1:16" ht="27.6">
      <c r="A88" t="s">
        <v>825</v>
      </c>
      <c r="B88" s="25" t="s">
        <v>734</v>
      </c>
      <c r="C88" t="s">
        <v>1016</v>
      </c>
      <c r="D88" t="s">
        <v>863</v>
      </c>
      <c r="E88" t="s">
        <v>1</v>
      </c>
      <c r="F88" t="s">
        <v>863</v>
      </c>
      <c r="G88" s="21">
        <v>60</v>
      </c>
      <c r="H88" t="s">
        <v>2</v>
      </c>
      <c r="I88" s="27">
        <v>12442089</v>
      </c>
      <c r="J88">
        <v>0</v>
      </c>
      <c r="K88">
        <v>1</v>
      </c>
      <c r="L88">
        <v>53</v>
      </c>
      <c r="M88">
        <v>116</v>
      </c>
      <c r="N88">
        <v>1370334.19</v>
      </c>
      <c r="O88" s="16">
        <v>12442089</v>
      </c>
      <c r="P88" s="29" t="s">
        <v>954</v>
      </c>
    </row>
    <row r="89" spans="1:16" ht="37.200000000000003">
      <c r="A89" t="s">
        <v>826</v>
      </c>
      <c r="B89" s="36" t="s">
        <v>735</v>
      </c>
      <c r="C89" t="s">
        <v>1016</v>
      </c>
      <c r="D89" t="s">
        <v>864</v>
      </c>
      <c r="E89" t="s">
        <v>1</v>
      </c>
      <c r="F89" t="s">
        <v>864</v>
      </c>
      <c r="G89" s="21">
        <v>60</v>
      </c>
      <c r="H89" t="s">
        <v>2</v>
      </c>
      <c r="I89" s="27">
        <v>12219900</v>
      </c>
      <c r="J89">
        <v>0</v>
      </c>
      <c r="K89">
        <v>1</v>
      </c>
      <c r="L89">
        <v>54</v>
      </c>
      <c r="M89">
        <v>116</v>
      </c>
      <c r="N89">
        <v>1037854.52</v>
      </c>
      <c r="O89" s="16">
        <v>12219900</v>
      </c>
      <c r="P89" s="29" t="s">
        <v>955</v>
      </c>
    </row>
    <row r="90" spans="1:16" ht="27.6">
      <c r="A90" t="s">
        <v>827</v>
      </c>
      <c r="B90" s="37" t="s">
        <v>730</v>
      </c>
      <c r="C90" t="s">
        <v>1016</v>
      </c>
      <c r="D90" t="s">
        <v>865</v>
      </c>
      <c r="E90" t="s">
        <v>1</v>
      </c>
      <c r="F90" t="s">
        <v>865</v>
      </c>
      <c r="G90" s="21">
        <v>60</v>
      </c>
      <c r="H90" t="s">
        <v>2</v>
      </c>
      <c r="I90" s="39">
        <v>14410000</v>
      </c>
      <c r="J90">
        <v>0</v>
      </c>
      <c r="K90">
        <v>1</v>
      </c>
      <c r="L90">
        <v>55</v>
      </c>
      <c r="M90">
        <v>116</v>
      </c>
      <c r="N90">
        <v>1105424.6599999999</v>
      </c>
      <c r="O90" s="16">
        <v>14410000</v>
      </c>
      <c r="P90" s="40" t="s">
        <v>956</v>
      </c>
    </row>
    <row r="91" spans="1:16" ht="27.6">
      <c r="A91" t="s">
        <v>828</v>
      </c>
      <c r="B91" s="37" t="s">
        <v>736</v>
      </c>
      <c r="C91" t="s">
        <v>1016</v>
      </c>
      <c r="D91" t="s">
        <v>865</v>
      </c>
      <c r="E91" t="s">
        <v>1</v>
      </c>
      <c r="F91" t="s">
        <v>865</v>
      </c>
      <c r="G91" s="21">
        <v>60</v>
      </c>
      <c r="H91" t="s">
        <v>2</v>
      </c>
      <c r="I91" s="39">
        <v>8980000</v>
      </c>
      <c r="J91">
        <v>0</v>
      </c>
      <c r="K91">
        <v>1</v>
      </c>
      <c r="L91">
        <v>55</v>
      </c>
      <c r="M91">
        <v>116</v>
      </c>
      <c r="N91">
        <v>688876.71</v>
      </c>
      <c r="O91" s="16">
        <v>8980000</v>
      </c>
      <c r="P91" s="40" t="s">
        <v>957</v>
      </c>
    </row>
    <row r="92" spans="1:16" ht="27.6">
      <c r="A92" t="s">
        <v>829</v>
      </c>
      <c r="B92" s="37" t="s">
        <v>737</v>
      </c>
      <c r="C92" t="s">
        <v>1016</v>
      </c>
      <c r="D92" t="s">
        <v>866</v>
      </c>
      <c r="E92" t="s">
        <v>1</v>
      </c>
      <c r="F92" t="s">
        <v>866</v>
      </c>
      <c r="G92" s="21">
        <v>60</v>
      </c>
      <c r="H92" t="s">
        <v>2</v>
      </c>
      <c r="I92" s="39">
        <v>10675500</v>
      </c>
      <c r="J92">
        <v>0</v>
      </c>
      <c r="K92">
        <v>1</v>
      </c>
      <c r="L92">
        <v>55</v>
      </c>
      <c r="M92">
        <v>116</v>
      </c>
      <c r="N92">
        <v>772145.75</v>
      </c>
      <c r="O92" s="16">
        <v>10675500</v>
      </c>
      <c r="P92" s="40" t="s">
        <v>958</v>
      </c>
    </row>
    <row r="93" spans="1:16" ht="31.8">
      <c r="P93" s="4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FBE4-6778-427D-BC40-E9064AC87B2E}">
  <dimension ref="A1:P64"/>
  <sheetViews>
    <sheetView topLeftCell="A43" workbookViewId="0">
      <selection activeCell="B56" sqref="B56"/>
    </sheetView>
  </sheetViews>
  <sheetFormatPr defaultRowHeight="13.8"/>
  <cols>
    <col min="3" max="3" width="11.5" bestFit="1" customWidth="1"/>
    <col min="4" max="4" width="8.8984375" bestFit="1" customWidth="1"/>
    <col min="5" max="5" width="14.796875" bestFit="1" customWidth="1"/>
    <col min="6" max="6" width="19.296875" bestFit="1" customWidth="1"/>
    <col min="7" max="7" width="9.19921875" bestFit="1" customWidth="1"/>
    <col min="8" max="8" width="15.19921875" bestFit="1" customWidth="1"/>
    <col min="9" max="9" width="10.8984375" bestFit="1" customWidth="1"/>
    <col min="10" max="10" width="11.796875" bestFit="1" customWidth="1"/>
    <col min="11" max="11" width="12.3984375" bestFit="1" customWidth="1"/>
    <col min="12" max="12" width="2.8984375" bestFit="1" customWidth="1"/>
    <col min="13" max="13" width="10" bestFit="1" customWidth="1"/>
    <col min="14" max="14" width="11.8984375" bestFit="1" customWidth="1"/>
    <col min="15" max="15" width="10.8984375" bestFit="1" customWidth="1"/>
    <col min="16" max="16" width="16.69921875" bestFit="1" customWidth="1"/>
  </cols>
  <sheetData>
    <row r="1" spans="1:16">
      <c r="A1" t="s">
        <v>492</v>
      </c>
      <c r="B1" t="s">
        <v>448</v>
      </c>
      <c r="C1" t="s">
        <v>1017</v>
      </c>
      <c r="D1" t="s">
        <v>556</v>
      </c>
      <c r="E1" t="s">
        <v>1</v>
      </c>
      <c r="F1" t="s">
        <v>556</v>
      </c>
      <c r="G1">
        <v>60</v>
      </c>
      <c r="H1" t="s">
        <v>2</v>
      </c>
      <c r="I1">
        <v>2050000</v>
      </c>
      <c r="J1">
        <v>0</v>
      </c>
      <c r="K1">
        <v>1</v>
      </c>
      <c r="L1">
        <v>45</v>
      </c>
      <c r="M1">
        <v>115</v>
      </c>
      <c r="N1">
        <v>489753.42</v>
      </c>
      <c r="O1">
        <v>2050000</v>
      </c>
      <c r="P1" t="s">
        <v>662</v>
      </c>
    </row>
    <row r="2" spans="1:16">
      <c r="A2" t="s">
        <v>493</v>
      </c>
      <c r="B2" t="s">
        <v>449</v>
      </c>
      <c r="C2" t="s">
        <v>1017</v>
      </c>
      <c r="D2" t="s">
        <v>557</v>
      </c>
      <c r="E2" t="s">
        <v>1</v>
      </c>
      <c r="F2" t="s">
        <v>557</v>
      </c>
      <c r="G2">
        <v>60</v>
      </c>
      <c r="H2" t="s">
        <v>2</v>
      </c>
      <c r="I2">
        <v>3528800</v>
      </c>
      <c r="J2">
        <v>0</v>
      </c>
      <c r="K2">
        <v>1</v>
      </c>
      <c r="L2">
        <v>45</v>
      </c>
      <c r="M2">
        <v>115</v>
      </c>
      <c r="N2">
        <v>866247.89</v>
      </c>
      <c r="O2">
        <v>3528800</v>
      </c>
      <c r="P2" t="s">
        <v>663</v>
      </c>
    </row>
    <row r="3" spans="1:16">
      <c r="A3" t="s">
        <v>494</v>
      </c>
      <c r="B3" t="s">
        <v>450</v>
      </c>
      <c r="C3" t="s">
        <v>1017</v>
      </c>
      <c r="D3" t="s">
        <v>558</v>
      </c>
      <c r="E3" t="s">
        <v>1</v>
      </c>
      <c r="F3" t="s">
        <v>558</v>
      </c>
      <c r="G3">
        <v>60</v>
      </c>
      <c r="H3" t="s">
        <v>2</v>
      </c>
      <c r="I3">
        <v>19822000</v>
      </c>
      <c r="J3">
        <v>0</v>
      </c>
      <c r="K3">
        <v>1</v>
      </c>
      <c r="L3">
        <v>40</v>
      </c>
      <c r="M3">
        <v>115</v>
      </c>
      <c r="N3">
        <v>6299594.5199999996</v>
      </c>
      <c r="O3">
        <v>19822000</v>
      </c>
      <c r="P3" t="s">
        <v>664</v>
      </c>
    </row>
    <row r="4" spans="1:16">
      <c r="A4" t="s">
        <v>495</v>
      </c>
      <c r="B4" t="s">
        <v>451</v>
      </c>
      <c r="C4" t="s">
        <v>1017</v>
      </c>
      <c r="D4" t="s">
        <v>558</v>
      </c>
      <c r="E4" t="s">
        <v>1</v>
      </c>
      <c r="F4" t="s">
        <v>558</v>
      </c>
      <c r="G4">
        <v>60</v>
      </c>
      <c r="H4" t="s">
        <v>2</v>
      </c>
      <c r="I4">
        <v>6875000</v>
      </c>
      <c r="J4">
        <v>0</v>
      </c>
      <c r="K4">
        <v>1</v>
      </c>
      <c r="L4">
        <v>40</v>
      </c>
      <c r="M4">
        <v>115</v>
      </c>
      <c r="N4">
        <v>2184931.5099999998</v>
      </c>
      <c r="O4">
        <v>6875000</v>
      </c>
      <c r="P4" t="s">
        <v>665</v>
      </c>
    </row>
    <row r="5" spans="1:16">
      <c r="A5" t="s">
        <v>496</v>
      </c>
      <c r="B5" t="s">
        <v>452</v>
      </c>
      <c r="C5" t="s">
        <v>1017</v>
      </c>
      <c r="D5" t="s">
        <v>559</v>
      </c>
      <c r="E5" t="s">
        <v>1</v>
      </c>
      <c r="F5" t="s">
        <v>559</v>
      </c>
      <c r="G5">
        <v>60</v>
      </c>
      <c r="H5" t="s">
        <v>2</v>
      </c>
      <c r="I5">
        <v>3568208</v>
      </c>
      <c r="J5">
        <v>0</v>
      </c>
      <c r="K5">
        <v>1</v>
      </c>
      <c r="L5">
        <v>36</v>
      </c>
      <c r="M5">
        <v>115</v>
      </c>
      <c r="N5">
        <v>1386224.37</v>
      </c>
      <c r="O5">
        <v>3568208</v>
      </c>
      <c r="P5" t="s">
        <v>666</v>
      </c>
    </row>
    <row r="6" spans="1:16">
      <c r="A6" t="s">
        <v>497</v>
      </c>
      <c r="B6" t="s">
        <v>453</v>
      </c>
      <c r="C6" t="s">
        <v>1017</v>
      </c>
      <c r="D6" t="s">
        <v>559</v>
      </c>
      <c r="E6" t="s">
        <v>1</v>
      </c>
      <c r="F6" t="s">
        <v>559</v>
      </c>
      <c r="G6">
        <v>60</v>
      </c>
      <c r="H6" t="s">
        <v>2</v>
      </c>
      <c r="I6">
        <v>3568208</v>
      </c>
      <c r="J6">
        <v>0</v>
      </c>
      <c r="K6">
        <v>1</v>
      </c>
      <c r="L6">
        <v>36</v>
      </c>
      <c r="M6">
        <v>115</v>
      </c>
      <c r="N6">
        <v>1386224.37</v>
      </c>
      <c r="O6">
        <v>3568208</v>
      </c>
      <c r="P6" t="s">
        <v>667</v>
      </c>
    </row>
    <row r="7" spans="1:16">
      <c r="A7" t="s">
        <v>498</v>
      </c>
      <c r="B7" t="s">
        <v>454</v>
      </c>
      <c r="C7" t="s">
        <v>1017</v>
      </c>
      <c r="D7" t="s">
        <v>557</v>
      </c>
      <c r="E7" t="s">
        <v>1</v>
      </c>
      <c r="F7" t="s">
        <v>557</v>
      </c>
      <c r="G7">
        <v>60</v>
      </c>
      <c r="H7" t="s">
        <v>2</v>
      </c>
      <c r="I7">
        <v>9630500</v>
      </c>
      <c r="J7">
        <v>0</v>
      </c>
      <c r="K7">
        <v>1</v>
      </c>
      <c r="L7">
        <v>45</v>
      </c>
      <c r="M7">
        <v>115</v>
      </c>
      <c r="N7">
        <v>2364089.86</v>
      </c>
      <c r="O7">
        <v>9630500</v>
      </c>
      <c r="P7" t="s">
        <v>668</v>
      </c>
    </row>
    <row r="8" spans="1:16">
      <c r="A8" t="s">
        <v>499</v>
      </c>
      <c r="B8" t="s">
        <v>455</v>
      </c>
      <c r="C8" t="s">
        <v>1017</v>
      </c>
      <c r="D8" t="s">
        <v>560</v>
      </c>
      <c r="E8" t="s">
        <v>1</v>
      </c>
      <c r="F8" t="s">
        <v>560</v>
      </c>
      <c r="G8">
        <v>60</v>
      </c>
      <c r="H8" t="s">
        <v>2</v>
      </c>
      <c r="I8">
        <v>5491924.7999999998</v>
      </c>
      <c r="J8">
        <v>0</v>
      </c>
      <c r="K8">
        <v>1</v>
      </c>
      <c r="L8">
        <v>37</v>
      </c>
      <c r="M8">
        <v>115</v>
      </c>
      <c r="N8">
        <v>2028250.58</v>
      </c>
      <c r="O8">
        <v>5491924.7999999998</v>
      </c>
      <c r="P8" t="s">
        <v>669</v>
      </c>
    </row>
    <row r="9" spans="1:16">
      <c r="A9" t="s">
        <v>500</v>
      </c>
      <c r="B9" t="s">
        <v>456</v>
      </c>
      <c r="C9" t="s">
        <v>1017</v>
      </c>
      <c r="D9" t="s">
        <v>561</v>
      </c>
      <c r="E9" t="s">
        <v>1</v>
      </c>
      <c r="F9" t="s">
        <v>561</v>
      </c>
      <c r="G9">
        <v>60</v>
      </c>
      <c r="H9" t="s">
        <v>2</v>
      </c>
      <c r="I9">
        <v>3116300</v>
      </c>
      <c r="J9">
        <v>0</v>
      </c>
      <c r="K9">
        <v>1</v>
      </c>
      <c r="L9">
        <v>40</v>
      </c>
      <c r="M9">
        <v>115</v>
      </c>
      <c r="N9">
        <v>1002338.68</v>
      </c>
      <c r="O9">
        <v>3116300</v>
      </c>
      <c r="P9" t="s">
        <v>670</v>
      </c>
    </row>
    <row r="10" spans="1:16">
      <c r="A10" t="s">
        <v>501</v>
      </c>
      <c r="B10" t="s">
        <v>456</v>
      </c>
      <c r="C10" t="s">
        <v>1017</v>
      </c>
      <c r="D10" t="s">
        <v>561</v>
      </c>
      <c r="E10" t="s">
        <v>1</v>
      </c>
      <c r="F10" t="s">
        <v>561</v>
      </c>
      <c r="G10">
        <v>60</v>
      </c>
      <c r="H10" t="s">
        <v>2</v>
      </c>
      <c r="I10">
        <v>3116300</v>
      </c>
      <c r="J10">
        <v>0</v>
      </c>
      <c r="K10">
        <v>1</v>
      </c>
      <c r="L10">
        <v>40</v>
      </c>
      <c r="M10">
        <v>115</v>
      </c>
      <c r="N10">
        <v>1002338.68</v>
      </c>
      <c r="O10">
        <v>3116300</v>
      </c>
      <c r="P10" t="s">
        <v>671</v>
      </c>
    </row>
    <row r="11" spans="1:16">
      <c r="A11" t="s">
        <v>502</v>
      </c>
      <c r="B11" t="s">
        <v>457</v>
      </c>
      <c r="C11" t="s">
        <v>1017</v>
      </c>
      <c r="D11" t="s">
        <v>562</v>
      </c>
      <c r="E11" t="s">
        <v>1</v>
      </c>
      <c r="F11" t="s">
        <v>562</v>
      </c>
      <c r="G11">
        <v>60</v>
      </c>
      <c r="H11" t="s">
        <v>2</v>
      </c>
      <c r="I11">
        <v>2199000</v>
      </c>
      <c r="J11">
        <v>0</v>
      </c>
      <c r="K11">
        <v>1</v>
      </c>
      <c r="L11">
        <v>46</v>
      </c>
      <c r="M11">
        <v>115</v>
      </c>
      <c r="N11">
        <v>508481.1</v>
      </c>
      <c r="O11">
        <v>2199000</v>
      </c>
      <c r="P11" t="s">
        <v>672</v>
      </c>
    </row>
    <row r="12" spans="1:16">
      <c r="A12" t="s">
        <v>503</v>
      </c>
      <c r="B12" t="s">
        <v>457</v>
      </c>
      <c r="C12" t="s">
        <v>1017</v>
      </c>
      <c r="D12" t="s">
        <v>562</v>
      </c>
      <c r="E12" t="s">
        <v>1</v>
      </c>
      <c r="F12" t="s">
        <v>562</v>
      </c>
      <c r="G12">
        <v>60</v>
      </c>
      <c r="H12" t="s">
        <v>2</v>
      </c>
      <c r="I12">
        <v>2199000</v>
      </c>
      <c r="J12">
        <v>0</v>
      </c>
      <c r="K12">
        <v>1</v>
      </c>
      <c r="L12">
        <v>46</v>
      </c>
      <c r="M12">
        <v>115</v>
      </c>
      <c r="N12">
        <v>508481.1</v>
      </c>
      <c r="O12">
        <v>2199000</v>
      </c>
      <c r="P12" t="s">
        <v>673</v>
      </c>
    </row>
    <row r="13" spans="1:16">
      <c r="A13" t="s">
        <v>504</v>
      </c>
      <c r="B13" t="s">
        <v>457</v>
      </c>
      <c r="C13" t="s">
        <v>1017</v>
      </c>
      <c r="D13" t="s">
        <v>562</v>
      </c>
      <c r="E13" t="s">
        <v>1</v>
      </c>
      <c r="F13" t="s">
        <v>562</v>
      </c>
      <c r="G13">
        <v>60</v>
      </c>
      <c r="H13" t="s">
        <v>2</v>
      </c>
      <c r="I13">
        <v>2199000</v>
      </c>
      <c r="J13">
        <v>0</v>
      </c>
      <c r="K13">
        <v>1</v>
      </c>
      <c r="L13">
        <v>46</v>
      </c>
      <c r="M13">
        <v>115</v>
      </c>
      <c r="N13">
        <v>508481.1</v>
      </c>
      <c r="O13">
        <v>2199000</v>
      </c>
      <c r="P13" t="s">
        <v>674</v>
      </c>
    </row>
    <row r="14" spans="1:16">
      <c r="A14" t="s">
        <v>505</v>
      </c>
      <c r="B14" t="s">
        <v>457</v>
      </c>
      <c r="C14" t="s">
        <v>1017</v>
      </c>
      <c r="D14" t="s">
        <v>562</v>
      </c>
      <c r="E14" t="s">
        <v>1</v>
      </c>
      <c r="F14" t="s">
        <v>562</v>
      </c>
      <c r="G14">
        <v>60</v>
      </c>
      <c r="H14" t="s">
        <v>2</v>
      </c>
      <c r="I14">
        <v>2199000</v>
      </c>
      <c r="J14">
        <v>0</v>
      </c>
      <c r="K14">
        <v>1</v>
      </c>
      <c r="L14">
        <v>46</v>
      </c>
      <c r="M14">
        <v>115</v>
      </c>
      <c r="N14">
        <v>508481.1</v>
      </c>
      <c r="O14">
        <v>2199000</v>
      </c>
      <c r="P14" t="s">
        <v>675</v>
      </c>
    </row>
    <row r="15" spans="1:16">
      <c r="A15" t="s">
        <v>506</v>
      </c>
      <c r="B15" t="s">
        <v>458</v>
      </c>
      <c r="C15" t="s">
        <v>1017</v>
      </c>
      <c r="D15" t="s">
        <v>563</v>
      </c>
      <c r="E15" t="s">
        <v>1</v>
      </c>
      <c r="F15" t="s">
        <v>563</v>
      </c>
      <c r="G15">
        <v>60</v>
      </c>
      <c r="H15" t="s">
        <v>2</v>
      </c>
      <c r="I15">
        <v>28189700</v>
      </c>
      <c r="J15">
        <v>0</v>
      </c>
      <c r="K15">
        <v>1</v>
      </c>
      <c r="L15">
        <v>48</v>
      </c>
      <c r="M15">
        <v>115</v>
      </c>
      <c r="N15">
        <v>5159101.26</v>
      </c>
      <c r="O15">
        <v>28189700</v>
      </c>
      <c r="P15" t="s">
        <v>676</v>
      </c>
    </row>
    <row r="16" spans="1:16">
      <c r="A16" t="s">
        <v>507</v>
      </c>
      <c r="B16" t="s">
        <v>459</v>
      </c>
      <c r="C16" t="s">
        <v>1017</v>
      </c>
      <c r="D16" t="s">
        <v>564</v>
      </c>
      <c r="E16" t="s">
        <v>1</v>
      </c>
      <c r="F16" t="s">
        <v>564</v>
      </c>
      <c r="G16">
        <v>60</v>
      </c>
      <c r="H16" t="s">
        <v>2</v>
      </c>
      <c r="I16">
        <v>390192</v>
      </c>
      <c r="J16">
        <v>0</v>
      </c>
      <c r="K16">
        <v>1</v>
      </c>
      <c r="L16">
        <v>0</v>
      </c>
      <c r="M16">
        <v>115</v>
      </c>
      <c r="N16">
        <v>390192</v>
      </c>
      <c r="O16">
        <v>390192</v>
      </c>
    </row>
    <row r="17" spans="1:15">
      <c r="A17" t="s">
        <v>508</v>
      </c>
      <c r="B17" t="s">
        <v>459</v>
      </c>
      <c r="C17" t="s">
        <v>1017</v>
      </c>
      <c r="D17" t="s">
        <v>564</v>
      </c>
      <c r="E17" t="s">
        <v>1</v>
      </c>
      <c r="F17" t="s">
        <v>564</v>
      </c>
      <c r="G17">
        <v>60</v>
      </c>
      <c r="H17" t="s">
        <v>2</v>
      </c>
      <c r="I17">
        <v>390192</v>
      </c>
      <c r="J17">
        <v>0</v>
      </c>
      <c r="K17">
        <v>1</v>
      </c>
      <c r="L17">
        <v>0</v>
      </c>
      <c r="M17">
        <v>115</v>
      </c>
      <c r="N17">
        <v>390192</v>
      </c>
      <c r="O17">
        <v>390192</v>
      </c>
    </row>
    <row r="18" spans="1:15">
      <c r="A18" t="s">
        <v>509</v>
      </c>
      <c r="B18" t="s">
        <v>459</v>
      </c>
      <c r="C18" t="s">
        <v>1017</v>
      </c>
      <c r="D18" t="s">
        <v>564</v>
      </c>
      <c r="E18" t="s">
        <v>1</v>
      </c>
      <c r="F18" t="s">
        <v>564</v>
      </c>
      <c r="G18">
        <v>60</v>
      </c>
      <c r="H18" t="s">
        <v>2</v>
      </c>
      <c r="I18">
        <v>390192</v>
      </c>
      <c r="J18">
        <v>0</v>
      </c>
      <c r="K18">
        <v>1</v>
      </c>
      <c r="L18">
        <v>0</v>
      </c>
      <c r="M18">
        <v>115</v>
      </c>
      <c r="N18">
        <v>390192</v>
      </c>
      <c r="O18">
        <v>390192</v>
      </c>
    </row>
    <row r="19" spans="1:15">
      <c r="A19" t="s">
        <v>510</v>
      </c>
      <c r="B19" t="s">
        <v>459</v>
      </c>
      <c r="C19" t="s">
        <v>1017</v>
      </c>
      <c r="D19" t="s">
        <v>564</v>
      </c>
      <c r="E19" t="s">
        <v>1</v>
      </c>
      <c r="F19" t="s">
        <v>564</v>
      </c>
      <c r="G19">
        <v>60</v>
      </c>
      <c r="H19" t="s">
        <v>2</v>
      </c>
      <c r="I19">
        <v>390192</v>
      </c>
      <c r="J19">
        <v>0</v>
      </c>
      <c r="K19">
        <v>1</v>
      </c>
      <c r="L19">
        <v>0</v>
      </c>
      <c r="M19">
        <v>115</v>
      </c>
      <c r="N19">
        <v>390192</v>
      </c>
      <c r="O19">
        <v>390192</v>
      </c>
    </row>
    <row r="20" spans="1:15">
      <c r="A20" t="s">
        <v>511</v>
      </c>
      <c r="B20" t="s">
        <v>459</v>
      </c>
      <c r="C20" t="s">
        <v>1017</v>
      </c>
      <c r="D20" t="s">
        <v>564</v>
      </c>
      <c r="E20" t="s">
        <v>1</v>
      </c>
      <c r="F20" t="s">
        <v>564</v>
      </c>
      <c r="G20">
        <v>60</v>
      </c>
      <c r="H20" t="s">
        <v>2</v>
      </c>
      <c r="I20">
        <v>390192</v>
      </c>
      <c r="J20">
        <v>0</v>
      </c>
      <c r="K20">
        <v>1</v>
      </c>
      <c r="L20">
        <v>0</v>
      </c>
      <c r="M20">
        <v>115</v>
      </c>
      <c r="N20">
        <v>390192</v>
      </c>
      <c r="O20">
        <v>390192</v>
      </c>
    </row>
    <row r="21" spans="1:15">
      <c r="A21" t="s">
        <v>512</v>
      </c>
      <c r="B21" t="s">
        <v>459</v>
      </c>
      <c r="C21" t="s">
        <v>1017</v>
      </c>
      <c r="D21" t="s">
        <v>564</v>
      </c>
      <c r="E21" t="s">
        <v>1</v>
      </c>
      <c r="F21" t="s">
        <v>564</v>
      </c>
      <c r="G21">
        <v>60</v>
      </c>
      <c r="H21" t="s">
        <v>2</v>
      </c>
      <c r="I21">
        <v>390192</v>
      </c>
      <c r="J21">
        <v>0</v>
      </c>
      <c r="K21">
        <v>1</v>
      </c>
      <c r="L21">
        <v>0</v>
      </c>
      <c r="M21">
        <v>115</v>
      </c>
      <c r="N21">
        <v>390192</v>
      </c>
      <c r="O21">
        <v>390192</v>
      </c>
    </row>
    <row r="22" spans="1:15">
      <c r="A22" t="s">
        <v>513</v>
      </c>
      <c r="B22" t="s">
        <v>459</v>
      </c>
      <c r="C22" t="s">
        <v>1017</v>
      </c>
      <c r="D22" t="s">
        <v>564</v>
      </c>
      <c r="E22" t="s">
        <v>1</v>
      </c>
      <c r="F22" t="s">
        <v>564</v>
      </c>
      <c r="G22">
        <v>60</v>
      </c>
      <c r="H22" t="s">
        <v>2</v>
      </c>
      <c r="I22">
        <v>390192</v>
      </c>
      <c r="J22">
        <v>0</v>
      </c>
      <c r="K22">
        <v>1</v>
      </c>
      <c r="L22">
        <v>0</v>
      </c>
      <c r="M22">
        <v>115</v>
      </c>
      <c r="N22">
        <v>390192</v>
      </c>
      <c r="O22">
        <v>390192</v>
      </c>
    </row>
    <row r="23" spans="1:15">
      <c r="A23" t="s">
        <v>514</v>
      </c>
      <c r="B23" t="s">
        <v>460</v>
      </c>
      <c r="C23" t="s">
        <v>1017</v>
      </c>
      <c r="D23" t="s">
        <v>565</v>
      </c>
      <c r="E23" t="s">
        <v>1</v>
      </c>
      <c r="F23" t="s">
        <v>565</v>
      </c>
      <c r="G23">
        <v>60</v>
      </c>
      <c r="H23" t="s">
        <v>2</v>
      </c>
      <c r="I23">
        <v>5956635.5999999996</v>
      </c>
      <c r="J23">
        <v>0</v>
      </c>
      <c r="K23">
        <v>1</v>
      </c>
      <c r="L23">
        <v>0</v>
      </c>
      <c r="M23">
        <v>115</v>
      </c>
      <c r="N23">
        <v>5956635.5999999996</v>
      </c>
      <c r="O23">
        <v>5956635.5999999996</v>
      </c>
    </row>
    <row r="24" spans="1:15">
      <c r="A24" t="s">
        <v>515</v>
      </c>
      <c r="B24" t="s">
        <v>461</v>
      </c>
      <c r="C24" t="s">
        <v>1017</v>
      </c>
      <c r="D24" t="s">
        <v>566</v>
      </c>
      <c r="E24" t="s">
        <v>1</v>
      </c>
      <c r="F24" t="s">
        <v>566</v>
      </c>
      <c r="G24">
        <v>60</v>
      </c>
      <c r="H24" t="s">
        <v>2</v>
      </c>
      <c r="I24">
        <v>3298896</v>
      </c>
      <c r="J24">
        <v>0</v>
      </c>
      <c r="K24">
        <v>1</v>
      </c>
      <c r="L24">
        <v>0</v>
      </c>
      <c r="M24">
        <v>115</v>
      </c>
      <c r="N24">
        <v>3298896</v>
      </c>
      <c r="O24">
        <v>3298896</v>
      </c>
    </row>
    <row r="25" spans="1:15">
      <c r="A25" t="s">
        <v>516</v>
      </c>
      <c r="B25" t="s">
        <v>462</v>
      </c>
      <c r="C25" t="s">
        <v>1017</v>
      </c>
      <c r="D25" t="s">
        <v>567</v>
      </c>
      <c r="E25" t="s">
        <v>1</v>
      </c>
      <c r="F25" t="s">
        <v>567</v>
      </c>
      <c r="G25">
        <v>60</v>
      </c>
      <c r="H25" t="s">
        <v>2</v>
      </c>
      <c r="I25">
        <v>638496</v>
      </c>
      <c r="J25">
        <v>0</v>
      </c>
      <c r="K25">
        <v>1</v>
      </c>
      <c r="L25">
        <v>0</v>
      </c>
      <c r="M25">
        <v>115</v>
      </c>
      <c r="N25">
        <v>638496</v>
      </c>
      <c r="O25">
        <v>638496</v>
      </c>
    </row>
    <row r="26" spans="1:15">
      <c r="A26" t="s">
        <v>517</v>
      </c>
      <c r="B26" t="s">
        <v>463</v>
      </c>
      <c r="C26" t="s">
        <v>1017</v>
      </c>
      <c r="D26" t="s">
        <v>565</v>
      </c>
      <c r="E26" t="s">
        <v>1</v>
      </c>
      <c r="F26" t="s">
        <v>565</v>
      </c>
      <c r="G26">
        <v>60</v>
      </c>
      <c r="H26" t="s">
        <v>2</v>
      </c>
      <c r="I26">
        <v>28373875</v>
      </c>
      <c r="J26">
        <v>0</v>
      </c>
      <c r="K26">
        <v>1</v>
      </c>
      <c r="L26">
        <v>0</v>
      </c>
      <c r="M26">
        <v>115</v>
      </c>
      <c r="N26">
        <v>28373875</v>
      </c>
      <c r="O26">
        <v>28373875</v>
      </c>
    </row>
    <row r="27" spans="1:15">
      <c r="A27" t="s">
        <v>518</v>
      </c>
      <c r="B27" t="s">
        <v>464</v>
      </c>
      <c r="C27" t="s">
        <v>1017</v>
      </c>
      <c r="D27" t="s">
        <v>568</v>
      </c>
      <c r="E27" t="s">
        <v>1</v>
      </c>
      <c r="F27" t="s">
        <v>568</v>
      </c>
      <c r="G27">
        <v>60</v>
      </c>
      <c r="H27" t="s">
        <v>2</v>
      </c>
      <c r="I27">
        <v>6307360</v>
      </c>
      <c r="J27">
        <v>0</v>
      </c>
      <c r="K27">
        <v>1</v>
      </c>
      <c r="L27">
        <v>0</v>
      </c>
      <c r="M27">
        <v>115</v>
      </c>
      <c r="N27">
        <v>6307360</v>
      </c>
      <c r="O27">
        <v>6307360</v>
      </c>
    </row>
    <row r="28" spans="1:15">
      <c r="A28" t="s">
        <v>519</v>
      </c>
      <c r="B28" t="s">
        <v>465</v>
      </c>
      <c r="C28" t="s">
        <v>1017</v>
      </c>
      <c r="D28" t="s">
        <v>569</v>
      </c>
      <c r="E28" t="s">
        <v>1</v>
      </c>
      <c r="F28" t="s">
        <v>569</v>
      </c>
      <c r="G28">
        <v>60</v>
      </c>
      <c r="H28" t="s">
        <v>2</v>
      </c>
      <c r="I28">
        <v>1399000</v>
      </c>
      <c r="J28">
        <v>0</v>
      </c>
      <c r="K28">
        <v>1</v>
      </c>
      <c r="L28">
        <v>0</v>
      </c>
      <c r="M28">
        <v>115</v>
      </c>
      <c r="N28">
        <v>1399000</v>
      </c>
      <c r="O28">
        <v>1399000</v>
      </c>
    </row>
    <row r="29" spans="1:15">
      <c r="A29" t="s">
        <v>520</v>
      </c>
      <c r="B29" t="s">
        <v>465</v>
      </c>
      <c r="C29" t="s">
        <v>1017</v>
      </c>
      <c r="D29" t="s">
        <v>570</v>
      </c>
      <c r="E29" t="s">
        <v>1</v>
      </c>
      <c r="F29" t="s">
        <v>570</v>
      </c>
      <c r="G29">
        <v>60</v>
      </c>
      <c r="H29" t="s">
        <v>2</v>
      </c>
      <c r="I29">
        <v>1437000</v>
      </c>
      <c r="J29">
        <v>0</v>
      </c>
      <c r="K29">
        <v>1</v>
      </c>
      <c r="L29">
        <v>0</v>
      </c>
      <c r="M29">
        <v>115</v>
      </c>
      <c r="N29">
        <v>1437000</v>
      </c>
      <c r="O29">
        <v>1437000</v>
      </c>
    </row>
    <row r="30" spans="1:15">
      <c r="A30" t="s">
        <v>521</v>
      </c>
      <c r="B30" t="s">
        <v>465</v>
      </c>
      <c r="C30" t="s">
        <v>1017</v>
      </c>
      <c r="D30" t="s">
        <v>571</v>
      </c>
      <c r="E30" t="s">
        <v>1</v>
      </c>
      <c r="F30" t="s">
        <v>571</v>
      </c>
      <c r="G30">
        <v>60</v>
      </c>
      <c r="H30" t="s">
        <v>2</v>
      </c>
      <c r="I30">
        <v>899000</v>
      </c>
      <c r="J30">
        <v>0</v>
      </c>
      <c r="K30">
        <v>1</v>
      </c>
      <c r="L30">
        <v>0</v>
      </c>
      <c r="M30">
        <v>115</v>
      </c>
      <c r="N30">
        <v>899000</v>
      </c>
      <c r="O30">
        <v>899000</v>
      </c>
    </row>
    <row r="31" spans="1:15">
      <c r="A31" t="s">
        <v>522</v>
      </c>
      <c r="B31" t="s">
        <v>465</v>
      </c>
      <c r="C31" t="s">
        <v>1017</v>
      </c>
      <c r="D31" t="s">
        <v>572</v>
      </c>
      <c r="E31" t="s">
        <v>1</v>
      </c>
      <c r="F31" t="s">
        <v>572</v>
      </c>
      <c r="G31">
        <v>60</v>
      </c>
      <c r="H31" t="s">
        <v>2</v>
      </c>
      <c r="I31">
        <v>1199000</v>
      </c>
      <c r="J31">
        <v>0</v>
      </c>
      <c r="K31">
        <v>1</v>
      </c>
      <c r="L31">
        <v>0</v>
      </c>
      <c r="M31">
        <v>115</v>
      </c>
      <c r="N31">
        <v>1199000</v>
      </c>
      <c r="O31">
        <v>1199000</v>
      </c>
    </row>
    <row r="32" spans="1:15">
      <c r="A32" t="s">
        <v>523</v>
      </c>
      <c r="B32" t="s">
        <v>465</v>
      </c>
      <c r="C32" t="s">
        <v>1017</v>
      </c>
      <c r="D32" t="s">
        <v>573</v>
      </c>
      <c r="E32" t="s">
        <v>1</v>
      </c>
      <c r="F32" t="s">
        <v>573</v>
      </c>
      <c r="G32">
        <v>60</v>
      </c>
      <c r="H32" t="s">
        <v>2</v>
      </c>
      <c r="I32">
        <v>757000</v>
      </c>
      <c r="J32">
        <v>0</v>
      </c>
      <c r="K32">
        <v>1</v>
      </c>
      <c r="L32">
        <v>0</v>
      </c>
      <c r="M32">
        <v>115</v>
      </c>
      <c r="N32">
        <v>757000</v>
      </c>
      <c r="O32">
        <v>757000</v>
      </c>
    </row>
    <row r="33" spans="1:15">
      <c r="A33" t="s">
        <v>524</v>
      </c>
      <c r="B33" t="s">
        <v>466</v>
      </c>
      <c r="C33" t="s">
        <v>1017</v>
      </c>
      <c r="D33" t="s">
        <v>574</v>
      </c>
      <c r="E33" t="s">
        <v>1</v>
      </c>
      <c r="F33" t="s">
        <v>574</v>
      </c>
      <c r="G33">
        <v>60</v>
      </c>
      <c r="H33" t="s">
        <v>2</v>
      </c>
      <c r="I33">
        <v>10512750</v>
      </c>
      <c r="J33">
        <v>0</v>
      </c>
      <c r="K33">
        <v>1</v>
      </c>
      <c r="L33">
        <v>0</v>
      </c>
      <c r="M33">
        <v>115</v>
      </c>
      <c r="N33">
        <v>10512750</v>
      </c>
      <c r="O33">
        <v>10512750</v>
      </c>
    </row>
    <row r="34" spans="1:15">
      <c r="A34" t="s">
        <v>525</v>
      </c>
      <c r="B34" t="s">
        <v>467</v>
      </c>
      <c r="C34" t="s">
        <v>1017</v>
      </c>
      <c r="D34" t="s">
        <v>575</v>
      </c>
      <c r="E34" t="s">
        <v>1</v>
      </c>
      <c r="F34" t="s">
        <v>575</v>
      </c>
      <c r="G34">
        <v>60</v>
      </c>
      <c r="H34" t="s">
        <v>2</v>
      </c>
      <c r="I34">
        <v>466500</v>
      </c>
      <c r="J34">
        <v>0</v>
      </c>
      <c r="K34">
        <v>1</v>
      </c>
      <c r="L34">
        <v>0</v>
      </c>
      <c r="M34">
        <v>115</v>
      </c>
      <c r="N34">
        <v>466500</v>
      </c>
      <c r="O34">
        <v>466500</v>
      </c>
    </row>
    <row r="35" spans="1:15">
      <c r="A35" t="s">
        <v>526</v>
      </c>
      <c r="B35" t="s">
        <v>465</v>
      </c>
      <c r="C35" t="s">
        <v>1017</v>
      </c>
      <c r="D35" t="s">
        <v>575</v>
      </c>
      <c r="E35" t="s">
        <v>1</v>
      </c>
      <c r="F35" t="s">
        <v>575</v>
      </c>
      <c r="G35">
        <v>60</v>
      </c>
      <c r="H35" t="s">
        <v>2</v>
      </c>
      <c r="I35">
        <v>1337300</v>
      </c>
      <c r="J35">
        <v>0</v>
      </c>
      <c r="K35">
        <v>1</v>
      </c>
      <c r="L35">
        <v>0</v>
      </c>
      <c r="M35">
        <v>115</v>
      </c>
      <c r="N35">
        <v>1337300</v>
      </c>
      <c r="O35">
        <v>1337300</v>
      </c>
    </row>
    <row r="36" spans="1:15">
      <c r="A36" t="s">
        <v>527</v>
      </c>
      <c r="B36" t="s">
        <v>468</v>
      </c>
      <c r="C36" t="s">
        <v>1017</v>
      </c>
      <c r="D36" t="s">
        <v>575</v>
      </c>
      <c r="E36" t="s">
        <v>1</v>
      </c>
      <c r="F36" t="s">
        <v>575</v>
      </c>
      <c r="G36">
        <v>60</v>
      </c>
      <c r="H36" t="s">
        <v>2</v>
      </c>
      <c r="I36">
        <v>466500</v>
      </c>
      <c r="J36">
        <v>0</v>
      </c>
      <c r="K36">
        <v>1</v>
      </c>
      <c r="L36">
        <v>0</v>
      </c>
      <c r="M36">
        <v>115</v>
      </c>
      <c r="N36">
        <v>466500</v>
      </c>
      <c r="O36">
        <v>466500</v>
      </c>
    </row>
    <row r="37" spans="1:15">
      <c r="A37" t="s">
        <v>528</v>
      </c>
      <c r="B37" t="s">
        <v>467</v>
      </c>
      <c r="C37" t="s">
        <v>1017</v>
      </c>
      <c r="D37" t="s">
        <v>575</v>
      </c>
      <c r="E37" t="s">
        <v>1</v>
      </c>
      <c r="F37" t="s">
        <v>575</v>
      </c>
      <c r="G37">
        <v>60</v>
      </c>
      <c r="H37" t="s">
        <v>2</v>
      </c>
      <c r="I37">
        <v>466500</v>
      </c>
      <c r="J37">
        <v>0</v>
      </c>
      <c r="K37">
        <v>1</v>
      </c>
      <c r="L37">
        <v>0</v>
      </c>
      <c r="M37">
        <v>115</v>
      </c>
      <c r="N37">
        <v>466500</v>
      </c>
      <c r="O37">
        <v>466500</v>
      </c>
    </row>
    <row r="38" spans="1:15">
      <c r="A38" t="s">
        <v>529</v>
      </c>
      <c r="B38" t="s">
        <v>468</v>
      </c>
      <c r="C38" t="s">
        <v>1017</v>
      </c>
      <c r="D38" t="s">
        <v>575</v>
      </c>
      <c r="E38" t="s">
        <v>1</v>
      </c>
      <c r="F38" t="s">
        <v>575</v>
      </c>
      <c r="G38">
        <v>60</v>
      </c>
      <c r="H38" t="s">
        <v>2</v>
      </c>
      <c r="I38">
        <v>466500</v>
      </c>
      <c r="J38">
        <v>0</v>
      </c>
      <c r="K38">
        <v>1</v>
      </c>
      <c r="L38">
        <v>0</v>
      </c>
      <c r="M38">
        <v>115</v>
      </c>
      <c r="N38">
        <v>466500</v>
      </c>
      <c r="O38">
        <v>466500</v>
      </c>
    </row>
    <row r="39" spans="1:15">
      <c r="A39" t="s">
        <v>530</v>
      </c>
      <c r="B39" t="s">
        <v>465</v>
      </c>
      <c r="C39" t="s">
        <v>1017</v>
      </c>
      <c r="D39" t="s">
        <v>575</v>
      </c>
      <c r="E39" t="s">
        <v>1</v>
      </c>
      <c r="F39" t="s">
        <v>575</v>
      </c>
      <c r="G39">
        <v>60</v>
      </c>
      <c r="H39" t="s">
        <v>2</v>
      </c>
      <c r="I39">
        <v>1348324</v>
      </c>
      <c r="J39">
        <v>0</v>
      </c>
      <c r="K39">
        <v>1</v>
      </c>
      <c r="L39">
        <v>0</v>
      </c>
      <c r="M39">
        <v>115</v>
      </c>
      <c r="N39">
        <v>1348324</v>
      </c>
      <c r="O39">
        <v>1348324</v>
      </c>
    </row>
    <row r="40" spans="1:15">
      <c r="A40" t="s">
        <v>531</v>
      </c>
      <c r="B40" t="s">
        <v>469</v>
      </c>
      <c r="C40" t="s">
        <v>1017</v>
      </c>
      <c r="D40" t="s">
        <v>576</v>
      </c>
      <c r="E40" t="s">
        <v>1</v>
      </c>
      <c r="F40" t="s">
        <v>576</v>
      </c>
      <c r="G40">
        <v>60</v>
      </c>
      <c r="H40" t="s">
        <v>2</v>
      </c>
      <c r="I40">
        <v>4890000</v>
      </c>
      <c r="J40">
        <v>0</v>
      </c>
      <c r="K40">
        <v>1</v>
      </c>
      <c r="L40">
        <v>0</v>
      </c>
      <c r="M40">
        <v>115</v>
      </c>
      <c r="N40">
        <v>4890000</v>
      </c>
      <c r="O40">
        <v>4890000</v>
      </c>
    </row>
    <row r="41" spans="1:15">
      <c r="A41" t="s">
        <v>532</v>
      </c>
      <c r="B41" t="s">
        <v>470</v>
      </c>
      <c r="C41" t="s">
        <v>1017</v>
      </c>
      <c r="D41" t="s">
        <v>577</v>
      </c>
      <c r="E41" t="s">
        <v>1</v>
      </c>
      <c r="F41" t="s">
        <v>577</v>
      </c>
      <c r="G41">
        <v>60</v>
      </c>
      <c r="H41" t="s">
        <v>2</v>
      </c>
      <c r="I41">
        <v>569000</v>
      </c>
      <c r="J41">
        <v>0</v>
      </c>
      <c r="K41">
        <v>1</v>
      </c>
      <c r="L41">
        <v>0</v>
      </c>
      <c r="M41">
        <v>115</v>
      </c>
      <c r="N41">
        <v>569000</v>
      </c>
      <c r="O41">
        <v>569000</v>
      </c>
    </row>
    <row r="42" spans="1:15">
      <c r="A42" t="s">
        <v>533</v>
      </c>
      <c r="B42" t="s">
        <v>471</v>
      </c>
      <c r="C42" t="s">
        <v>1017</v>
      </c>
      <c r="D42" t="s">
        <v>578</v>
      </c>
      <c r="E42" t="s">
        <v>1</v>
      </c>
      <c r="F42" t="s">
        <v>578</v>
      </c>
      <c r="G42">
        <v>60</v>
      </c>
      <c r="H42" t="s">
        <v>2</v>
      </c>
      <c r="I42">
        <v>1573000</v>
      </c>
      <c r="J42">
        <v>0</v>
      </c>
      <c r="K42">
        <v>1</v>
      </c>
      <c r="L42">
        <v>0</v>
      </c>
      <c r="M42">
        <v>115</v>
      </c>
      <c r="N42">
        <v>1573000</v>
      </c>
      <c r="O42">
        <v>1573000</v>
      </c>
    </row>
    <row r="43" spans="1:15">
      <c r="A43" t="s">
        <v>534</v>
      </c>
      <c r="B43" t="s">
        <v>472</v>
      </c>
      <c r="C43" t="s">
        <v>1017</v>
      </c>
      <c r="D43" t="s">
        <v>579</v>
      </c>
      <c r="E43" t="s">
        <v>1</v>
      </c>
      <c r="F43" t="s">
        <v>579</v>
      </c>
      <c r="G43">
        <v>60</v>
      </c>
      <c r="H43" t="s">
        <v>2</v>
      </c>
      <c r="I43">
        <v>2600000</v>
      </c>
      <c r="J43">
        <v>0</v>
      </c>
      <c r="K43">
        <v>1</v>
      </c>
      <c r="L43">
        <v>0</v>
      </c>
      <c r="M43">
        <v>115</v>
      </c>
      <c r="N43">
        <v>2600000</v>
      </c>
      <c r="O43">
        <v>2600000</v>
      </c>
    </row>
    <row r="44" spans="1:15">
      <c r="A44" t="s">
        <v>535</v>
      </c>
      <c r="B44" t="s">
        <v>472</v>
      </c>
      <c r="C44" t="s">
        <v>1017</v>
      </c>
      <c r="D44" t="s">
        <v>580</v>
      </c>
      <c r="E44" t="s">
        <v>1</v>
      </c>
      <c r="F44" t="s">
        <v>580</v>
      </c>
      <c r="G44">
        <v>60</v>
      </c>
      <c r="H44" t="s">
        <v>2</v>
      </c>
      <c r="I44">
        <v>2870000</v>
      </c>
      <c r="J44">
        <v>0</v>
      </c>
      <c r="K44">
        <v>1</v>
      </c>
      <c r="L44">
        <v>0</v>
      </c>
      <c r="M44">
        <v>115</v>
      </c>
      <c r="N44">
        <v>2870000</v>
      </c>
      <c r="O44">
        <v>2870000</v>
      </c>
    </row>
    <row r="45" spans="1:15">
      <c r="A45" t="s">
        <v>536</v>
      </c>
      <c r="B45" t="s">
        <v>466</v>
      </c>
      <c r="C45" t="s">
        <v>1017</v>
      </c>
      <c r="D45" t="s">
        <v>581</v>
      </c>
      <c r="E45" t="s">
        <v>1</v>
      </c>
      <c r="F45" t="s">
        <v>581</v>
      </c>
      <c r="G45">
        <v>60</v>
      </c>
      <c r="H45" t="s">
        <v>2</v>
      </c>
      <c r="I45">
        <v>9362500</v>
      </c>
      <c r="J45">
        <v>0</v>
      </c>
      <c r="K45">
        <v>1</v>
      </c>
      <c r="L45">
        <v>0</v>
      </c>
      <c r="M45">
        <v>115</v>
      </c>
      <c r="N45">
        <v>9362500</v>
      </c>
      <c r="O45">
        <v>9362500</v>
      </c>
    </row>
    <row r="46" spans="1:15">
      <c r="A46" t="s">
        <v>537</v>
      </c>
      <c r="B46" t="s">
        <v>473</v>
      </c>
      <c r="C46" t="s">
        <v>1017</v>
      </c>
      <c r="D46" t="s">
        <v>582</v>
      </c>
      <c r="E46" t="s">
        <v>1</v>
      </c>
      <c r="F46" t="s">
        <v>582</v>
      </c>
      <c r="G46">
        <v>60</v>
      </c>
      <c r="H46" t="s">
        <v>2</v>
      </c>
      <c r="I46">
        <v>1422478.4</v>
      </c>
      <c r="J46">
        <v>0</v>
      </c>
      <c r="K46">
        <v>1</v>
      </c>
      <c r="L46">
        <v>4</v>
      </c>
      <c r="M46">
        <v>115</v>
      </c>
      <c r="N46">
        <v>1321930.6100000001</v>
      </c>
      <c r="O46">
        <v>1422478.4</v>
      </c>
    </row>
    <row r="47" spans="1:15">
      <c r="A47" t="s">
        <v>538</v>
      </c>
      <c r="B47" t="s">
        <v>1031</v>
      </c>
      <c r="C47" t="s">
        <v>1017</v>
      </c>
      <c r="D47" t="s">
        <v>583</v>
      </c>
      <c r="E47" t="s">
        <v>1</v>
      </c>
      <c r="F47" t="s">
        <v>583</v>
      </c>
      <c r="G47">
        <v>60</v>
      </c>
      <c r="H47" t="s">
        <v>2</v>
      </c>
      <c r="I47">
        <v>12635870</v>
      </c>
      <c r="J47">
        <v>0</v>
      </c>
      <c r="K47">
        <v>1</v>
      </c>
      <c r="L47">
        <v>7</v>
      </c>
      <c r="M47">
        <v>115</v>
      </c>
      <c r="N47">
        <v>11154184.42</v>
      </c>
      <c r="O47">
        <v>12635870</v>
      </c>
    </row>
    <row r="48" spans="1:15">
      <c r="A48" t="s">
        <v>539</v>
      </c>
      <c r="B48" t="s">
        <v>1030</v>
      </c>
      <c r="C48" t="s">
        <v>1017</v>
      </c>
      <c r="D48" t="s">
        <v>584</v>
      </c>
      <c r="E48" t="s">
        <v>1</v>
      </c>
      <c r="F48" t="s">
        <v>584</v>
      </c>
      <c r="G48">
        <v>60</v>
      </c>
      <c r="H48" t="s">
        <v>2</v>
      </c>
      <c r="I48">
        <v>5800542.2999999998</v>
      </c>
      <c r="J48">
        <v>0</v>
      </c>
      <c r="K48">
        <v>1</v>
      </c>
      <c r="L48">
        <v>9</v>
      </c>
      <c r="M48">
        <v>115</v>
      </c>
      <c r="N48">
        <v>4923309.5999999996</v>
      </c>
      <c r="O48">
        <v>5800542.2999999998</v>
      </c>
    </row>
    <row r="49" spans="1:16">
      <c r="A49" t="s">
        <v>540</v>
      </c>
      <c r="B49" t="s">
        <v>476</v>
      </c>
      <c r="C49" t="s">
        <v>1017</v>
      </c>
      <c r="D49" t="s">
        <v>585</v>
      </c>
      <c r="E49" t="s">
        <v>1</v>
      </c>
      <c r="F49" t="s">
        <v>585</v>
      </c>
      <c r="G49">
        <v>60</v>
      </c>
      <c r="H49" t="s">
        <v>2</v>
      </c>
      <c r="I49">
        <v>1118000</v>
      </c>
      <c r="J49">
        <v>0</v>
      </c>
      <c r="K49">
        <v>1</v>
      </c>
      <c r="L49">
        <v>9</v>
      </c>
      <c r="M49">
        <v>115</v>
      </c>
      <c r="N49">
        <v>944020.82</v>
      </c>
      <c r="O49">
        <v>1118000</v>
      </c>
    </row>
    <row r="50" spans="1:16">
      <c r="A50" t="s">
        <v>541</v>
      </c>
      <c r="B50" t="s">
        <v>477</v>
      </c>
      <c r="C50" t="s">
        <v>1017</v>
      </c>
      <c r="D50" t="s">
        <v>586</v>
      </c>
      <c r="E50" t="s">
        <v>1</v>
      </c>
      <c r="F50" t="s">
        <v>586</v>
      </c>
      <c r="G50">
        <v>60</v>
      </c>
      <c r="H50" t="s">
        <v>2</v>
      </c>
      <c r="I50">
        <v>4577948.7299999995</v>
      </c>
      <c r="J50">
        <v>0</v>
      </c>
      <c r="K50">
        <v>1</v>
      </c>
      <c r="L50">
        <v>13</v>
      </c>
      <c r="M50">
        <v>115</v>
      </c>
      <c r="N50">
        <v>3549478.06</v>
      </c>
      <c r="O50">
        <v>4577948.7299999995</v>
      </c>
    </row>
    <row r="51" spans="1:16">
      <c r="A51" t="s">
        <v>542</v>
      </c>
      <c r="B51" t="s">
        <v>478</v>
      </c>
      <c r="C51" t="s">
        <v>1017</v>
      </c>
      <c r="D51" t="s">
        <v>587</v>
      </c>
      <c r="E51" t="s">
        <v>1</v>
      </c>
      <c r="F51" t="s">
        <v>587</v>
      </c>
      <c r="G51">
        <v>60</v>
      </c>
      <c r="H51" t="s">
        <v>2</v>
      </c>
      <c r="I51">
        <v>3700000</v>
      </c>
      <c r="J51">
        <v>0</v>
      </c>
      <c r="K51">
        <v>1</v>
      </c>
      <c r="L51">
        <v>15</v>
      </c>
      <c r="M51">
        <v>115</v>
      </c>
      <c r="N51">
        <v>2769424.66</v>
      </c>
      <c r="O51">
        <v>3700000</v>
      </c>
    </row>
    <row r="52" spans="1:16">
      <c r="A52" t="s">
        <v>543</v>
      </c>
      <c r="B52" t="s">
        <v>479</v>
      </c>
      <c r="C52" t="s">
        <v>1017</v>
      </c>
      <c r="D52" t="s">
        <v>588</v>
      </c>
      <c r="E52" t="s">
        <v>1</v>
      </c>
      <c r="F52" t="s">
        <v>588</v>
      </c>
      <c r="G52">
        <v>60</v>
      </c>
      <c r="H52" t="s">
        <v>2</v>
      </c>
      <c r="I52">
        <v>4500000</v>
      </c>
      <c r="J52">
        <v>0</v>
      </c>
      <c r="K52">
        <v>1</v>
      </c>
      <c r="L52">
        <v>18</v>
      </c>
      <c r="M52">
        <v>115</v>
      </c>
      <c r="N52">
        <v>3092054.79</v>
      </c>
      <c r="O52">
        <v>4500000</v>
      </c>
    </row>
    <row r="53" spans="1:16">
      <c r="A53" t="s">
        <v>544</v>
      </c>
      <c r="B53" t="s">
        <v>480</v>
      </c>
      <c r="C53" t="s">
        <v>1017</v>
      </c>
      <c r="D53" t="s">
        <v>589</v>
      </c>
      <c r="E53" t="s">
        <v>1</v>
      </c>
      <c r="F53" t="s">
        <v>589</v>
      </c>
      <c r="G53">
        <v>60</v>
      </c>
      <c r="H53" t="s">
        <v>2</v>
      </c>
      <c r="I53">
        <v>5920491</v>
      </c>
      <c r="J53">
        <v>0</v>
      </c>
      <c r="K53">
        <v>1</v>
      </c>
      <c r="L53">
        <v>20</v>
      </c>
      <c r="M53">
        <v>115</v>
      </c>
      <c r="N53">
        <v>3879949.17</v>
      </c>
      <c r="O53">
        <v>5920491</v>
      </c>
    </row>
    <row r="54" spans="1:16">
      <c r="A54" t="s">
        <v>545</v>
      </c>
      <c r="B54" t="s">
        <v>1032</v>
      </c>
      <c r="C54" t="s">
        <v>1017</v>
      </c>
      <c r="D54" t="s">
        <v>590</v>
      </c>
      <c r="E54" t="s">
        <v>1</v>
      </c>
      <c r="F54" t="s">
        <v>590</v>
      </c>
      <c r="G54">
        <v>60</v>
      </c>
      <c r="H54" t="s">
        <v>2</v>
      </c>
      <c r="I54">
        <v>3538220</v>
      </c>
      <c r="J54">
        <v>0</v>
      </c>
      <c r="K54">
        <v>1</v>
      </c>
      <c r="L54">
        <v>24</v>
      </c>
      <c r="M54">
        <v>115</v>
      </c>
      <c r="N54">
        <v>2066708.23</v>
      </c>
      <c r="O54">
        <v>3538220</v>
      </c>
    </row>
    <row r="55" spans="1:16">
      <c r="A55" t="s">
        <v>546</v>
      </c>
      <c r="B55" t="s">
        <v>1033</v>
      </c>
      <c r="C55" t="s">
        <v>1017</v>
      </c>
      <c r="D55" t="s">
        <v>590</v>
      </c>
      <c r="E55" t="s">
        <v>1</v>
      </c>
      <c r="F55" t="s">
        <v>590</v>
      </c>
      <c r="G55">
        <v>60</v>
      </c>
      <c r="H55" t="s">
        <v>2</v>
      </c>
      <c r="I55">
        <v>6975348</v>
      </c>
      <c r="J55">
        <v>0</v>
      </c>
      <c r="K55">
        <v>1</v>
      </c>
      <c r="L55">
        <v>24</v>
      </c>
      <c r="M55">
        <v>115</v>
      </c>
      <c r="N55">
        <v>4074367.65</v>
      </c>
      <c r="O55">
        <v>6975348</v>
      </c>
    </row>
    <row r="56" spans="1:16">
      <c r="A56" t="s">
        <v>547</v>
      </c>
      <c r="B56" t="s">
        <v>483</v>
      </c>
      <c r="C56" t="s">
        <v>1017</v>
      </c>
      <c r="D56" t="s">
        <v>591</v>
      </c>
      <c r="E56" t="s">
        <v>1</v>
      </c>
      <c r="F56" t="s">
        <v>591</v>
      </c>
      <c r="G56">
        <v>60</v>
      </c>
      <c r="H56" t="s">
        <v>2</v>
      </c>
      <c r="I56">
        <v>900000</v>
      </c>
      <c r="J56">
        <v>0</v>
      </c>
      <c r="K56">
        <v>1</v>
      </c>
      <c r="L56">
        <v>25</v>
      </c>
      <c r="M56">
        <v>115</v>
      </c>
      <c r="N56">
        <v>518794.52</v>
      </c>
      <c r="O56">
        <v>900000</v>
      </c>
    </row>
    <row r="57" spans="1:16">
      <c r="A57" t="s">
        <v>548</v>
      </c>
      <c r="B57" t="s">
        <v>484</v>
      </c>
      <c r="C57" t="s">
        <v>1017</v>
      </c>
      <c r="D57" t="s">
        <v>591</v>
      </c>
      <c r="E57" t="s">
        <v>1</v>
      </c>
      <c r="F57" t="s">
        <v>591</v>
      </c>
      <c r="G57">
        <v>60</v>
      </c>
      <c r="H57" t="s">
        <v>2</v>
      </c>
      <c r="I57">
        <v>4769285</v>
      </c>
      <c r="J57">
        <v>0</v>
      </c>
      <c r="K57">
        <v>1</v>
      </c>
      <c r="L57">
        <v>25</v>
      </c>
      <c r="M57">
        <v>115</v>
      </c>
      <c r="N57">
        <v>2749198.81</v>
      </c>
      <c r="O57">
        <v>4769285</v>
      </c>
    </row>
    <row r="58" spans="1:16">
      <c r="A58" t="s">
        <v>549</v>
      </c>
      <c r="B58" t="s">
        <v>485</v>
      </c>
      <c r="C58" t="s">
        <v>1017</v>
      </c>
      <c r="D58" t="s">
        <v>592</v>
      </c>
      <c r="E58" t="s">
        <v>1</v>
      </c>
      <c r="F58" t="s">
        <v>592</v>
      </c>
      <c r="G58">
        <v>60</v>
      </c>
      <c r="H58" t="s">
        <v>2</v>
      </c>
      <c r="I58">
        <v>2912238</v>
      </c>
      <c r="J58">
        <v>0</v>
      </c>
      <c r="K58">
        <v>1</v>
      </c>
      <c r="L58">
        <v>26</v>
      </c>
      <c r="M58">
        <v>115</v>
      </c>
      <c r="N58">
        <v>1610108.57</v>
      </c>
      <c r="O58">
        <v>2912238</v>
      </c>
    </row>
    <row r="59" spans="1:16">
      <c r="A59" t="s">
        <v>550</v>
      </c>
      <c r="B59" t="s">
        <v>486</v>
      </c>
      <c r="C59" t="s">
        <v>1017</v>
      </c>
      <c r="D59" t="s">
        <v>593</v>
      </c>
      <c r="E59" t="s">
        <v>1</v>
      </c>
      <c r="F59" t="s">
        <v>593</v>
      </c>
      <c r="G59">
        <v>60</v>
      </c>
      <c r="H59" t="s">
        <v>2</v>
      </c>
      <c r="I59">
        <v>5954344</v>
      </c>
      <c r="J59">
        <v>0</v>
      </c>
      <c r="K59">
        <v>1</v>
      </c>
      <c r="L59">
        <v>28</v>
      </c>
      <c r="M59">
        <v>115</v>
      </c>
      <c r="N59">
        <v>3102784.19</v>
      </c>
      <c r="O59">
        <v>5954344</v>
      </c>
    </row>
    <row r="60" spans="1:16">
      <c r="A60" t="s">
        <v>551</v>
      </c>
      <c r="B60" t="s">
        <v>487</v>
      </c>
      <c r="C60" t="s">
        <v>1017</v>
      </c>
      <c r="D60" t="s">
        <v>594</v>
      </c>
      <c r="E60" t="s">
        <v>1</v>
      </c>
      <c r="F60" t="s">
        <v>594</v>
      </c>
      <c r="G60">
        <v>60</v>
      </c>
      <c r="H60" t="s">
        <v>2</v>
      </c>
      <c r="I60">
        <v>3775768</v>
      </c>
      <c r="J60">
        <v>0</v>
      </c>
      <c r="K60">
        <v>1</v>
      </c>
      <c r="L60">
        <v>29</v>
      </c>
      <c r="M60">
        <v>115</v>
      </c>
      <c r="N60">
        <v>1893056.28</v>
      </c>
      <c r="O60">
        <v>3775768</v>
      </c>
      <c r="P60" t="s">
        <v>677</v>
      </c>
    </row>
    <row r="61" spans="1:16">
      <c r="A61" t="s">
        <v>552</v>
      </c>
      <c r="B61" t="s">
        <v>488</v>
      </c>
      <c r="C61" t="s">
        <v>1017</v>
      </c>
      <c r="D61" t="s">
        <v>595</v>
      </c>
      <c r="E61" t="s">
        <v>1</v>
      </c>
      <c r="F61" t="s">
        <v>595</v>
      </c>
      <c r="G61">
        <v>60</v>
      </c>
      <c r="H61" t="s">
        <v>2</v>
      </c>
      <c r="I61">
        <v>12025000</v>
      </c>
      <c r="J61">
        <v>0</v>
      </c>
      <c r="K61">
        <v>1</v>
      </c>
      <c r="L61">
        <v>50</v>
      </c>
      <c r="M61">
        <v>115</v>
      </c>
      <c r="N61">
        <v>1831753.42</v>
      </c>
      <c r="O61">
        <v>12025000</v>
      </c>
      <c r="P61" t="s">
        <v>678</v>
      </c>
    </row>
    <row r="62" spans="1:16">
      <c r="A62" t="s">
        <v>553</v>
      </c>
      <c r="B62" t="s">
        <v>489</v>
      </c>
      <c r="C62" t="s">
        <v>1017</v>
      </c>
      <c r="D62" t="s">
        <v>596</v>
      </c>
      <c r="E62" t="s">
        <v>1</v>
      </c>
      <c r="F62" t="s">
        <v>596</v>
      </c>
      <c r="G62">
        <v>60</v>
      </c>
      <c r="H62" t="s">
        <v>2</v>
      </c>
      <c r="I62">
        <v>39600000</v>
      </c>
      <c r="J62">
        <v>0</v>
      </c>
      <c r="K62">
        <v>1</v>
      </c>
      <c r="L62">
        <v>52</v>
      </c>
      <c r="M62">
        <v>115</v>
      </c>
      <c r="N62">
        <v>4708602.74</v>
      </c>
      <c r="O62">
        <v>39600000</v>
      </c>
      <c r="P62" t="s">
        <v>679</v>
      </c>
    </row>
    <row r="63" spans="1:16">
      <c r="A63" t="s">
        <v>554</v>
      </c>
      <c r="B63" t="s">
        <v>490</v>
      </c>
      <c r="C63" t="s">
        <v>1017</v>
      </c>
      <c r="D63" t="s">
        <v>597</v>
      </c>
      <c r="E63" t="s">
        <v>1</v>
      </c>
      <c r="F63" t="s">
        <v>597</v>
      </c>
      <c r="G63">
        <v>60</v>
      </c>
      <c r="H63" t="s">
        <v>2</v>
      </c>
      <c r="I63">
        <v>28132500</v>
      </c>
      <c r="J63">
        <v>0</v>
      </c>
      <c r="K63">
        <v>1</v>
      </c>
      <c r="L63">
        <v>52</v>
      </c>
      <c r="M63">
        <v>115</v>
      </c>
      <c r="N63">
        <v>3452975.34</v>
      </c>
      <c r="O63">
        <v>28132500</v>
      </c>
      <c r="P63" t="s">
        <v>680</v>
      </c>
    </row>
    <row r="64" spans="1:16">
      <c r="A64" t="s">
        <v>555</v>
      </c>
      <c r="B64" t="s">
        <v>491</v>
      </c>
      <c r="C64" t="s">
        <v>1017</v>
      </c>
      <c r="D64" t="s">
        <v>598</v>
      </c>
      <c r="E64" t="s">
        <v>1</v>
      </c>
      <c r="F64" t="s">
        <v>598</v>
      </c>
      <c r="G64">
        <v>60</v>
      </c>
      <c r="H64" t="s">
        <v>2</v>
      </c>
      <c r="I64">
        <v>5440000</v>
      </c>
      <c r="J64">
        <v>0</v>
      </c>
      <c r="K64">
        <v>1</v>
      </c>
      <c r="L64">
        <v>54</v>
      </c>
      <c r="M64">
        <v>115</v>
      </c>
      <c r="N64">
        <v>500778.08</v>
      </c>
      <c r="O64">
        <v>5440000</v>
      </c>
      <c r="P64" t="s">
        <v>681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DEF2-305B-4C9C-9FAF-498A6E8EC878}">
  <dimension ref="A1:O1"/>
  <sheetViews>
    <sheetView workbookViewId="0">
      <selection sqref="A1:XFD1"/>
    </sheetView>
  </sheetViews>
  <sheetFormatPr defaultRowHeight="13.8"/>
  <cols>
    <col min="1" max="1" width="7.69921875" bestFit="1" customWidth="1"/>
    <col min="2" max="2" width="31" bestFit="1" customWidth="1"/>
    <col min="3" max="3" width="11.5" bestFit="1" customWidth="1"/>
    <col min="4" max="4" width="14.3984375" customWidth="1"/>
    <col min="5" max="5" width="15.09765625" bestFit="1" customWidth="1"/>
    <col min="6" max="6" width="19.296875" bestFit="1" customWidth="1"/>
    <col min="7" max="7" width="9.296875" bestFit="1" customWidth="1"/>
    <col min="8" max="8" width="15.3984375" bestFit="1" customWidth="1"/>
    <col min="9" max="9" width="11.3984375" bestFit="1" customWidth="1"/>
    <col min="10" max="10" width="12" bestFit="1" customWidth="1"/>
    <col min="11" max="11" width="12.296875" bestFit="1" customWidth="1"/>
    <col min="12" max="12" width="12.5" bestFit="1" customWidth="1"/>
    <col min="13" max="13" width="9.796875" bestFit="1" customWidth="1"/>
    <col min="14" max="14" width="23.19921875" bestFit="1" customWidth="1"/>
    <col min="15" max="15" width="10.296875" bestFit="1" customWidth="1"/>
    <col min="16" max="16" width="5" bestFit="1" customWidth="1"/>
  </cols>
  <sheetData>
    <row r="1" spans="1:15" ht="18.600000000000001">
      <c r="A1" t="s">
        <v>446</v>
      </c>
      <c r="B1" s="18" t="s">
        <v>445</v>
      </c>
      <c r="C1" s="15" t="s">
        <v>1018</v>
      </c>
      <c r="D1" s="20">
        <v>20160619</v>
      </c>
      <c r="E1" t="s">
        <v>1</v>
      </c>
      <c r="F1" s="20">
        <v>20160619</v>
      </c>
      <c r="G1" s="21">
        <f>12*3</f>
        <v>36</v>
      </c>
      <c r="H1" t="s">
        <v>2</v>
      </c>
      <c r="I1" s="22">
        <v>3930120.24</v>
      </c>
      <c r="J1">
        <v>0</v>
      </c>
      <c r="K1">
        <v>1</v>
      </c>
      <c r="L1">
        <v>0</v>
      </c>
      <c r="M1">
        <v>115</v>
      </c>
      <c r="N1" s="22">
        <v>3930120.24</v>
      </c>
      <c r="O1" s="16">
        <f>I1</f>
        <v>3930120.24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4E80-ABD2-4BA2-8885-977BDBE23267}">
  <dimension ref="A1:O94"/>
  <sheetViews>
    <sheetView zoomScale="80" zoomScaleNormal="80" workbookViewId="0">
      <selection activeCell="B1" sqref="B1:B94"/>
    </sheetView>
  </sheetViews>
  <sheetFormatPr defaultRowHeight="13.8"/>
  <cols>
    <col min="3" max="3" width="12.59765625" bestFit="1" customWidth="1"/>
    <col min="9" max="9" width="12.59765625" bestFit="1" customWidth="1"/>
    <col min="14" max="15" width="11.296875" bestFit="1" customWidth="1"/>
  </cols>
  <sheetData>
    <row r="1" spans="1:15" ht="18.600000000000001">
      <c r="A1" t="s">
        <v>341</v>
      </c>
      <c r="B1" s="11" t="s">
        <v>302</v>
      </c>
      <c r="C1" t="s">
        <v>436</v>
      </c>
      <c r="D1" t="s">
        <v>437</v>
      </c>
      <c r="E1" t="s">
        <v>1</v>
      </c>
      <c r="F1" t="s">
        <v>437</v>
      </c>
      <c r="G1">
        <v>120</v>
      </c>
      <c r="H1" t="s">
        <v>2</v>
      </c>
      <c r="I1" s="13">
        <v>14783184.95437872</v>
      </c>
      <c r="J1">
        <v>0</v>
      </c>
      <c r="K1">
        <v>1</v>
      </c>
      <c r="L1">
        <v>0</v>
      </c>
      <c r="M1">
        <v>104</v>
      </c>
      <c r="N1" s="16">
        <v>14783184.95437872</v>
      </c>
      <c r="O1" s="16">
        <v>14783184.95437872</v>
      </c>
    </row>
    <row r="2" spans="1:15" ht="18.600000000000001">
      <c r="A2" t="s">
        <v>342</v>
      </c>
      <c r="B2" s="11" t="s">
        <v>302</v>
      </c>
      <c r="C2" t="s">
        <v>436</v>
      </c>
      <c r="D2" t="s">
        <v>437</v>
      </c>
      <c r="E2" t="s">
        <v>1</v>
      </c>
      <c r="F2" t="s">
        <v>437</v>
      </c>
      <c r="G2">
        <v>120</v>
      </c>
      <c r="H2" t="s">
        <v>2</v>
      </c>
      <c r="I2" s="13">
        <v>14783184.95437872</v>
      </c>
      <c r="J2">
        <v>0</v>
      </c>
      <c r="K2">
        <v>1</v>
      </c>
      <c r="L2">
        <v>0</v>
      </c>
      <c r="M2">
        <v>104</v>
      </c>
      <c r="N2" s="16">
        <v>14783184.95437872</v>
      </c>
      <c r="O2" s="16">
        <v>14783184.95437872</v>
      </c>
    </row>
    <row r="3" spans="1:15" ht="18.600000000000001">
      <c r="A3" t="s">
        <v>343</v>
      </c>
      <c r="B3" s="11" t="s">
        <v>302</v>
      </c>
      <c r="C3" t="s">
        <v>436</v>
      </c>
      <c r="D3" t="s">
        <v>437</v>
      </c>
      <c r="E3" t="s">
        <v>1</v>
      </c>
      <c r="F3" t="s">
        <v>437</v>
      </c>
      <c r="G3">
        <v>120</v>
      </c>
      <c r="H3" t="s">
        <v>2</v>
      </c>
      <c r="I3" s="13">
        <v>14783184.95437872</v>
      </c>
      <c r="J3">
        <v>0</v>
      </c>
      <c r="K3">
        <v>1</v>
      </c>
      <c r="L3">
        <v>0</v>
      </c>
      <c r="M3">
        <v>104</v>
      </c>
      <c r="N3" s="16">
        <v>14783184.95437872</v>
      </c>
      <c r="O3" s="16">
        <v>14783184.95437872</v>
      </c>
    </row>
    <row r="4" spans="1:15" ht="18.600000000000001">
      <c r="A4" t="s">
        <v>344</v>
      </c>
      <c r="B4" s="11" t="s">
        <v>303</v>
      </c>
      <c r="C4" t="s">
        <v>436</v>
      </c>
      <c r="D4" t="s">
        <v>437</v>
      </c>
      <c r="E4" t="s">
        <v>1</v>
      </c>
      <c r="F4" t="s">
        <v>437</v>
      </c>
      <c r="G4">
        <v>120</v>
      </c>
      <c r="H4" t="s">
        <v>2</v>
      </c>
      <c r="I4" s="13">
        <v>5277687.2230104003</v>
      </c>
      <c r="J4">
        <v>0</v>
      </c>
      <c r="K4">
        <v>1</v>
      </c>
      <c r="L4">
        <v>0</v>
      </c>
      <c r="M4">
        <v>104</v>
      </c>
      <c r="N4" s="16">
        <v>5277687.2230104003</v>
      </c>
      <c r="O4" s="16">
        <v>5277687.2230104003</v>
      </c>
    </row>
    <row r="5" spans="1:15" ht="18.600000000000001">
      <c r="A5" t="s">
        <v>345</v>
      </c>
      <c r="B5" s="11" t="s">
        <v>303</v>
      </c>
      <c r="C5" t="s">
        <v>436</v>
      </c>
      <c r="D5" t="s">
        <v>437</v>
      </c>
      <c r="E5" t="s">
        <v>1</v>
      </c>
      <c r="F5" t="s">
        <v>437</v>
      </c>
      <c r="G5">
        <v>120</v>
      </c>
      <c r="H5" t="s">
        <v>2</v>
      </c>
      <c r="I5" s="13">
        <v>5277687.2230104003</v>
      </c>
      <c r="J5">
        <v>0</v>
      </c>
      <c r="K5">
        <v>1</v>
      </c>
      <c r="L5">
        <v>0</v>
      </c>
      <c r="M5">
        <v>104</v>
      </c>
      <c r="N5" s="16">
        <v>5277687.2230104003</v>
      </c>
      <c r="O5" s="16">
        <v>5277687.2230104003</v>
      </c>
    </row>
    <row r="6" spans="1:15" ht="18.600000000000001">
      <c r="A6" t="s">
        <v>346</v>
      </c>
      <c r="B6" s="11" t="s">
        <v>303</v>
      </c>
      <c r="C6" t="s">
        <v>436</v>
      </c>
      <c r="D6" t="s">
        <v>437</v>
      </c>
      <c r="E6" t="s">
        <v>1</v>
      </c>
      <c r="F6" t="s">
        <v>437</v>
      </c>
      <c r="G6">
        <v>120</v>
      </c>
      <c r="H6" t="s">
        <v>2</v>
      </c>
      <c r="I6" s="13">
        <v>5277687.2230104003</v>
      </c>
      <c r="J6">
        <v>0</v>
      </c>
      <c r="K6">
        <v>1</v>
      </c>
      <c r="L6">
        <v>0</v>
      </c>
      <c r="M6">
        <v>104</v>
      </c>
      <c r="N6" s="16">
        <v>5277687.2230104003</v>
      </c>
      <c r="O6" s="16">
        <v>5277687.2230104003</v>
      </c>
    </row>
    <row r="7" spans="1:15" ht="18.600000000000001">
      <c r="A7" t="s">
        <v>347</v>
      </c>
      <c r="B7" s="11" t="s">
        <v>304</v>
      </c>
      <c r="C7" t="s">
        <v>436</v>
      </c>
      <c r="D7" t="s">
        <v>437</v>
      </c>
      <c r="E7" t="s">
        <v>1</v>
      </c>
      <c r="F7" t="s">
        <v>437</v>
      </c>
      <c r="G7">
        <v>120</v>
      </c>
      <c r="H7" t="s">
        <v>2</v>
      </c>
      <c r="I7" s="13">
        <v>3473046.5150779202</v>
      </c>
      <c r="J7">
        <v>0</v>
      </c>
      <c r="K7">
        <v>1</v>
      </c>
      <c r="L7">
        <v>0</v>
      </c>
      <c r="M7">
        <v>104</v>
      </c>
      <c r="N7" s="16">
        <v>3473046.5150779202</v>
      </c>
      <c r="O7" s="16">
        <v>3473046.5150779202</v>
      </c>
    </row>
    <row r="8" spans="1:15" ht="18.600000000000001">
      <c r="A8" t="s">
        <v>348</v>
      </c>
      <c r="B8" s="11" t="s">
        <v>304</v>
      </c>
      <c r="C8" t="s">
        <v>436</v>
      </c>
      <c r="D8" t="s">
        <v>437</v>
      </c>
      <c r="E8" t="s">
        <v>1</v>
      </c>
      <c r="F8" t="s">
        <v>437</v>
      </c>
      <c r="G8">
        <v>120</v>
      </c>
      <c r="H8" t="s">
        <v>2</v>
      </c>
      <c r="I8" s="13">
        <v>3473046.5150779202</v>
      </c>
      <c r="J8">
        <v>0</v>
      </c>
      <c r="K8">
        <v>1</v>
      </c>
      <c r="L8">
        <v>0</v>
      </c>
      <c r="M8">
        <v>104</v>
      </c>
      <c r="N8" s="16">
        <v>3473046.5150779202</v>
      </c>
      <c r="O8" s="16">
        <v>3473046.5150779202</v>
      </c>
    </row>
    <row r="9" spans="1:15" ht="18.600000000000001">
      <c r="A9" t="s">
        <v>349</v>
      </c>
      <c r="B9" s="11" t="s">
        <v>304</v>
      </c>
      <c r="C9" t="s">
        <v>436</v>
      </c>
      <c r="D9" t="s">
        <v>437</v>
      </c>
      <c r="E9" t="s">
        <v>1</v>
      </c>
      <c r="F9" t="s">
        <v>437</v>
      </c>
      <c r="G9">
        <v>120</v>
      </c>
      <c r="H9" t="s">
        <v>2</v>
      </c>
      <c r="I9" s="13">
        <v>3473046.5150779202</v>
      </c>
      <c r="J9">
        <v>0</v>
      </c>
      <c r="K9">
        <v>1</v>
      </c>
      <c r="L9">
        <v>0</v>
      </c>
      <c r="M9">
        <v>104</v>
      </c>
      <c r="N9" s="16">
        <v>3473046.5150779202</v>
      </c>
      <c r="O9" s="16">
        <v>3473046.5150779202</v>
      </c>
    </row>
    <row r="10" spans="1:15" ht="18.600000000000001">
      <c r="A10" t="s">
        <v>350</v>
      </c>
      <c r="B10" s="11" t="s">
        <v>305</v>
      </c>
      <c r="C10" t="s">
        <v>436</v>
      </c>
      <c r="D10" t="s">
        <v>437</v>
      </c>
      <c r="E10" t="s">
        <v>1</v>
      </c>
      <c r="F10" t="s">
        <v>437</v>
      </c>
      <c r="G10">
        <v>120</v>
      </c>
      <c r="H10" t="s">
        <v>2</v>
      </c>
      <c r="I10" s="13">
        <v>3631924.3356633596</v>
      </c>
      <c r="J10">
        <v>0</v>
      </c>
      <c r="K10">
        <v>1</v>
      </c>
      <c r="L10">
        <v>0</v>
      </c>
      <c r="M10">
        <v>104</v>
      </c>
      <c r="N10" s="16">
        <v>3631924.3356633596</v>
      </c>
      <c r="O10" s="16">
        <v>3631924.3356633596</v>
      </c>
    </row>
    <row r="11" spans="1:15" ht="18.600000000000001">
      <c r="A11" t="s">
        <v>351</v>
      </c>
      <c r="B11" s="11" t="s">
        <v>305</v>
      </c>
      <c r="C11" t="s">
        <v>436</v>
      </c>
      <c r="D11" t="s">
        <v>437</v>
      </c>
      <c r="E11" t="s">
        <v>1</v>
      </c>
      <c r="F11" t="s">
        <v>437</v>
      </c>
      <c r="G11">
        <v>120</v>
      </c>
      <c r="H11" t="s">
        <v>2</v>
      </c>
      <c r="I11" s="13">
        <v>3631924.3356633596</v>
      </c>
      <c r="J11">
        <v>0</v>
      </c>
      <c r="K11">
        <v>1</v>
      </c>
      <c r="L11">
        <v>0</v>
      </c>
      <c r="M11">
        <v>104</v>
      </c>
      <c r="N11" s="16">
        <v>3631924.3356633596</v>
      </c>
      <c r="O11" s="16">
        <v>3631924.3356633596</v>
      </c>
    </row>
    <row r="12" spans="1:15" ht="18.600000000000001">
      <c r="A12" t="s">
        <v>352</v>
      </c>
      <c r="B12" s="11" t="s">
        <v>305</v>
      </c>
      <c r="C12" t="s">
        <v>436</v>
      </c>
      <c r="D12" t="s">
        <v>437</v>
      </c>
      <c r="E12" t="s">
        <v>1</v>
      </c>
      <c r="F12" t="s">
        <v>437</v>
      </c>
      <c r="G12">
        <v>120</v>
      </c>
      <c r="H12" t="s">
        <v>2</v>
      </c>
      <c r="I12" s="13">
        <v>3631924.3356633596</v>
      </c>
      <c r="J12">
        <v>0</v>
      </c>
      <c r="K12">
        <v>1</v>
      </c>
      <c r="L12">
        <v>0</v>
      </c>
      <c r="M12">
        <v>104</v>
      </c>
      <c r="N12" s="16">
        <v>3631924.3356633596</v>
      </c>
      <c r="O12" s="16">
        <v>3631924.3356633596</v>
      </c>
    </row>
    <row r="13" spans="1:15" ht="18.600000000000001">
      <c r="A13" t="s">
        <v>353</v>
      </c>
      <c r="B13" s="11" t="s">
        <v>305</v>
      </c>
      <c r="C13" t="s">
        <v>436</v>
      </c>
      <c r="D13" t="s">
        <v>437</v>
      </c>
      <c r="E13" t="s">
        <v>1</v>
      </c>
      <c r="F13" t="s">
        <v>437</v>
      </c>
      <c r="G13">
        <v>120</v>
      </c>
      <c r="H13" t="s">
        <v>2</v>
      </c>
      <c r="I13" s="13">
        <v>3631924.3356633596</v>
      </c>
      <c r="J13">
        <v>0</v>
      </c>
      <c r="K13">
        <v>1</v>
      </c>
      <c r="L13">
        <v>0</v>
      </c>
      <c r="M13">
        <v>104</v>
      </c>
      <c r="N13" s="16">
        <v>3631924.3356633596</v>
      </c>
      <c r="O13" s="16">
        <v>3631924.3356633596</v>
      </c>
    </row>
    <row r="14" spans="1:15" ht="18.600000000000001">
      <c r="A14" t="s">
        <v>354</v>
      </c>
      <c r="B14" s="11" t="s">
        <v>305</v>
      </c>
      <c r="C14" t="s">
        <v>436</v>
      </c>
      <c r="D14" t="s">
        <v>437</v>
      </c>
      <c r="E14" t="s">
        <v>1</v>
      </c>
      <c r="F14" t="s">
        <v>437</v>
      </c>
      <c r="G14">
        <v>120</v>
      </c>
      <c r="H14" t="s">
        <v>2</v>
      </c>
      <c r="I14" s="13">
        <v>3631924.3356633596</v>
      </c>
      <c r="J14">
        <v>0</v>
      </c>
      <c r="K14">
        <v>1</v>
      </c>
      <c r="L14">
        <v>0</v>
      </c>
      <c r="M14">
        <v>104</v>
      </c>
      <c r="N14" s="16">
        <v>3631924.3356633596</v>
      </c>
      <c r="O14" s="16">
        <v>3631924.3356633596</v>
      </c>
    </row>
    <row r="15" spans="1:15" ht="18.600000000000001">
      <c r="A15" t="s">
        <v>355</v>
      </c>
      <c r="B15" s="11" t="s">
        <v>305</v>
      </c>
      <c r="C15" t="s">
        <v>436</v>
      </c>
      <c r="D15" t="s">
        <v>437</v>
      </c>
      <c r="E15" t="s">
        <v>1</v>
      </c>
      <c r="F15" t="s">
        <v>437</v>
      </c>
      <c r="G15">
        <v>120</v>
      </c>
      <c r="H15" t="s">
        <v>2</v>
      </c>
      <c r="I15" s="13">
        <v>3631924.3356633596</v>
      </c>
      <c r="J15">
        <v>0</v>
      </c>
      <c r="K15">
        <v>1</v>
      </c>
      <c r="L15">
        <v>0</v>
      </c>
      <c r="M15">
        <v>104</v>
      </c>
      <c r="N15" s="16">
        <v>3631924.3356633596</v>
      </c>
      <c r="O15" s="16">
        <v>3631924.3356633596</v>
      </c>
    </row>
    <row r="16" spans="1:15" ht="18.600000000000001">
      <c r="A16" t="s">
        <v>356</v>
      </c>
      <c r="B16" s="11" t="s">
        <v>306</v>
      </c>
      <c r="C16" t="s">
        <v>436</v>
      </c>
      <c r="D16" t="s">
        <v>437</v>
      </c>
      <c r="E16" t="s">
        <v>1</v>
      </c>
      <c r="F16" t="s">
        <v>437</v>
      </c>
      <c r="G16">
        <v>120</v>
      </c>
      <c r="H16" t="s">
        <v>2</v>
      </c>
      <c r="I16" s="13">
        <v>10878790.81714128</v>
      </c>
      <c r="J16">
        <v>0</v>
      </c>
      <c r="K16">
        <v>1</v>
      </c>
      <c r="L16">
        <v>0</v>
      </c>
      <c r="M16">
        <v>104</v>
      </c>
      <c r="N16" s="16">
        <v>10878790.81714128</v>
      </c>
      <c r="O16" s="16">
        <v>10878790.81714128</v>
      </c>
    </row>
    <row r="17" spans="1:15" ht="18.600000000000001">
      <c r="A17" t="s">
        <v>357</v>
      </c>
      <c r="B17" s="11" t="s">
        <v>306</v>
      </c>
      <c r="C17" t="s">
        <v>436</v>
      </c>
      <c r="D17" t="s">
        <v>437</v>
      </c>
      <c r="E17" t="s">
        <v>1</v>
      </c>
      <c r="F17" t="s">
        <v>437</v>
      </c>
      <c r="G17">
        <v>120</v>
      </c>
      <c r="H17" t="s">
        <v>2</v>
      </c>
      <c r="I17" s="13">
        <v>10878790.81714128</v>
      </c>
      <c r="J17">
        <v>0</v>
      </c>
      <c r="K17">
        <v>1</v>
      </c>
      <c r="L17">
        <v>0</v>
      </c>
      <c r="M17">
        <v>104</v>
      </c>
      <c r="N17" s="16">
        <v>10878790.81714128</v>
      </c>
      <c r="O17" s="16">
        <v>10878790.81714128</v>
      </c>
    </row>
    <row r="18" spans="1:15" ht="18.600000000000001">
      <c r="A18" t="s">
        <v>358</v>
      </c>
      <c r="B18" s="11" t="s">
        <v>307</v>
      </c>
      <c r="C18" t="s">
        <v>436</v>
      </c>
      <c r="D18" t="s">
        <v>437</v>
      </c>
      <c r="E18" t="s">
        <v>1</v>
      </c>
      <c r="F18" t="s">
        <v>437</v>
      </c>
      <c r="G18">
        <v>120</v>
      </c>
      <c r="H18" t="s">
        <v>2</v>
      </c>
      <c r="I18" s="13">
        <v>3200576.7135038404</v>
      </c>
      <c r="J18">
        <v>0</v>
      </c>
      <c r="K18">
        <v>1</v>
      </c>
      <c r="L18">
        <v>0</v>
      </c>
      <c r="M18">
        <v>104</v>
      </c>
      <c r="N18" s="16">
        <v>3200576.7135038404</v>
      </c>
      <c r="O18" s="16">
        <v>3200576.7135038404</v>
      </c>
    </row>
    <row r="19" spans="1:15" ht="18.600000000000001">
      <c r="A19" t="s">
        <v>359</v>
      </c>
      <c r="B19" s="11" t="s">
        <v>307</v>
      </c>
      <c r="C19" t="s">
        <v>436</v>
      </c>
      <c r="D19" t="s">
        <v>437</v>
      </c>
      <c r="E19" t="s">
        <v>1</v>
      </c>
      <c r="F19" t="s">
        <v>437</v>
      </c>
      <c r="G19">
        <v>120</v>
      </c>
      <c r="H19" t="s">
        <v>2</v>
      </c>
      <c r="I19" s="13">
        <v>3200576.7135038404</v>
      </c>
      <c r="J19">
        <v>0</v>
      </c>
      <c r="K19">
        <v>1</v>
      </c>
      <c r="L19">
        <v>0</v>
      </c>
      <c r="M19">
        <v>104</v>
      </c>
      <c r="N19" s="16">
        <v>3200576.7135038404</v>
      </c>
      <c r="O19" s="16">
        <v>3200576.7135038404</v>
      </c>
    </row>
    <row r="20" spans="1:15" ht="18.600000000000001">
      <c r="A20" t="s">
        <v>360</v>
      </c>
      <c r="B20" s="11" t="s">
        <v>307</v>
      </c>
      <c r="C20" t="s">
        <v>436</v>
      </c>
      <c r="D20" t="s">
        <v>437</v>
      </c>
      <c r="E20" t="s">
        <v>1</v>
      </c>
      <c r="F20" t="s">
        <v>437</v>
      </c>
      <c r="G20">
        <v>120</v>
      </c>
      <c r="H20" t="s">
        <v>2</v>
      </c>
      <c r="I20" s="13">
        <v>3200576.7135038404</v>
      </c>
      <c r="J20">
        <v>0</v>
      </c>
      <c r="K20">
        <v>1</v>
      </c>
      <c r="L20">
        <v>0</v>
      </c>
      <c r="M20">
        <v>104</v>
      </c>
      <c r="N20" s="16">
        <v>3200576.7135038404</v>
      </c>
      <c r="O20" s="16">
        <v>3200576.7135038404</v>
      </c>
    </row>
    <row r="21" spans="1:15" ht="18.600000000000001">
      <c r="A21" t="s">
        <v>361</v>
      </c>
      <c r="B21" s="11" t="s">
        <v>307</v>
      </c>
      <c r="C21" t="s">
        <v>436</v>
      </c>
      <c r="D21" t="s">
        <v>437</v>
      </c>
      <c r="E21" t="s">
        <v>1</v>
      </c>
      <c r="F21" t="s">
        <v>437</v>
      </c>
      <c r="G21">
        <v>120</v>
      </c>
      <c r="H21" t="s">
        <v>2</v>
      </c>
      <c r="I21" s="13">
        <v>3200576.7135038404</v>
      </c>
      <c r="J21">
        <v>0</v>
      </c>
      <c r="K21">
        <v>1</v>
      </c>
      <c r="L21">
        <v>0</v>
      </c>
      <c r="M21">
        <v>104</v>
      </c>
      <c r="N21" s="16">
        <v>3200576.7135038404</v>
      </c>
      <c r="O21" s="16">
        <v>3200576.7135038404</v>
      </c>
    </row>
    <row r="22" spans="1:15" ht="18.600000000000001">
      <c r="A22" t="s">
        <v>362</v>
      </c>
      <c r="B22" s="11" t="s">
        <v>307</v>
      </c>
      <c r="C22" t="s">
        <v>436</v>
      </c>
      <c r="D22" t="s">
        <v>437</v>
      </c>
      <c r="E22" t="s">
        <v>1</v>
      </c>
      <c r="F22" t="s">
        <v>437</v>
      </c>
      <c r="G22">
        <v>120</v>
      </c>
      <c r="H22" t="s">
        <v>2</v>
      </c>
      <c r="I22" s="13">
        <v>3200576.7135038404</v>
      </c>
      <c r="J22">
        <v>0</v>
      </c>
      <c r="K22">
        <v>1</v>
      </c>
      <c r="L22">
        <v>0</v>
      </c>
      <c r="M22">
        <v>104</v>
      </c>
      <c r="N22" s="16">
        <v>3200576.7135038404</v>
      </c>
      <c r="O22" s="16">
        <v>3200576.7135038404</v>
      </c>
    </row>
    <row r="23" spans="1:15" ht="18.600000000000001">
      <c r="A23" t="s">
        <v>363</v>
      </c>
      <c r="B23" s="11" t="s">
        <v>307</v>
      </c>
      <c r="C23" t="s">
        <v>436</v>
      </c>
      <c r="D23" t="s">
        <v>437</v>
      </c>
      <c r="E23" t="s">
        <v>1</v>
      </c>
      <c r="F23" t="s">
        <v>437</v>
      </c>
      <c r="G23">
        <v>120</v>
      </c>
      <c r="H23" t="s">
        <v>2</v>
      </c>
      <c r="I23" s="13">
        <v>3200576.7135038404</v>
      </c>
      <c r="J23">
        <v>0</v>
      </c>
      <c r="K23">
        <v>1</v>
      </c>
      <c r="L23">
        <v>0</v>
      </c>
      <c r="M23">
        <v>104</v>
      </c>
      <c r="N23" s="16">
        <v>3200576.7135038404</v>
      </c>
      <c r="O23" s="16">
        <v>3200576.7135038404</v>
      </c>
    </row>
    <row r="24" spans="1:15" ht="18.600000000000001">
      <c r="A24" t="s">
        <v>364</v>
      </c>
      <c r="B24" s="11" t="s">
        <v>308</v>
      </c>
      <c r="C24" t="s">
        <v>436</v>
      </c>
      <c r="D24" t="s">
        <v>437</v>
      </c>
      <c r="E24" t="s">
        <v>1</v>
      </c>
      <c r="F24" t="s">
        <v>437</v>
      </c>
      <c r="G24">
        <v>120</v>
      </c>
      <c r="H24" t="s">
        <v>2</v>
      </c>
      <c r="I24" s="13">
        <v>14187298.78168416</v>
      </c>
      <c r="J24">
        <v>0</v>
      </c>
      <c r="K24">
        <v>1</v>
      </c>
      <c r="L24">
        <v>0</v>
      </c>
      <c r="M24">
        <v>104</v>
      </c>
      <c r="N24" s="16">
        <v>14187298.78168416</v>
      </c>
      <c r="O24" s="16">
        <v>14187298.78168416</v>
      </c>
    </row>
    <row r="25" spans="1:15" ht="18.600000000000001">
      <c r="A25" t="s">
        <v>365</v>
      </c>
      <c r="B25" s="11" t="s">
        <v>309</v>
      </c>
      <c r="C25" t="s">
        <v>436</v>
      </c>
      <c r="D25" t="s">
        <v>437</v>
      </c>
      <c r="E25" t="s">
        <v>1</v>
      </c>
      <c r="F25" t="s">
        <v>437</v>
      </c>
      <c r="G25">
        <v>120</v>
      </c>
      <c r="H25" t="s">
        <v>2</v>
      </c>
      <c r="I25" s="13">
        <v>32914502.982947521</v>
      </c>
      <c r="J25">
        <v>0</v>
      </c>
      <c r="K25">
        <v>1</v>
      </c>
      <c r="L25">
        <v>0</v>
      </c>
      <c r="M25">
        <v>104</v>
      </c>
      <c r="N25" s="16">
        <v>32914502.982947521</v>
      </c>
      <c r="O25" s="16">
        <v>32914502.982947521</v>
      </c>
    </row>
    <row r="26" spans="1:15" ht="18.600000000000001">
      <c r="A26" t="s">
        <v>366</v>
      </c>
      <c r="B26" s="11" t="s">
        <v>309</v>
      </c>
      <c r="C26" t="s">
        <v>436</v>
      </c>
      <c r="D26" t="s">
        <v>437</v>
      </c>
      <c r="E26" t="s">
        <v>1</v>
      </c>
      <c r="F26" t="s">
        <v>437</v>
      </c>
      <c r="G26">
        <v>120</v>
      </c>
      <c r="H26" t="s">
        <v>2</v>
      </c>
      <c r="I26" s="13">
        <v>32914502.982947521</v>
      </c>
      <c r="J26">
        <v>0</v>
      </c>
      <c r="K26">
        <v>1</v>
      </c>
      <c r="L26">
        <v>0</v>
      </c>
      <c r="M26">
        <v>104</v>
      </c>
      <c r="N26" s="16">
        <v>32914502.982947521</v>
      </c>
      <c r="O26" s="16">
        <v>32914502.982947521</v>
      </c>
    </row>
    <row r="27" spans="1:15" ht="18.600000000000001">
      <c r="A27" t="s">
        <v>367</v>
      </c>
      <c r="B27" s="11" t="s">
        <v>310</v>
      </c>
      <c r="C27" t="s">
        <v>436</v>
      </c>
      <c r="D27" t="s">
        <v>437</v>
      </c>
      <c r="E27" t="s">
        <v>1</v>
      </c>
      <c r="F27" t="s">
        <v>437</v>
      </c>
      <c r="G27">
        <v>120</v>
      </c>
      <c r="H27" t="s">
        <v>2</v>
      </c>
      <c r="I27" s="13">
        <v>6503423.94809712</v>
      </c>
      <c r="J27">
        <v>0</v>
      </c>
      <c r="K27">
        <v>1</v>
      </c>
      <c r="L27">
        <v>0</v>
      </c>
      <c r="M27">
        <v>104</v>
      </c>
      <c r="N27" s="16">
        <v>6503423.94809712</v>
      </c>
      <c r="O27" s="16">
        <v>6503423.94809712</v>
      </c>
    </row>
    <row r="28" spans="1:15" ht="18.600000000000001">
      <c r="A28" t="s">
        <v>368</v>
      </c>
      <c r="B28" s="11" t="s">
        <v>310</v>
      </c>
      <c r="C28" t="s">
        <v>436</v>
      </c>
      <c r="D28" t="s">
        <v>437</v>
      </c>
      <c r="E28" t="s">
        <v>1</v>
      </c>
      <c r="F28" t="s">
        <v>437</v>
      </c>
      <c r="G28">
        <v>120</v>
      </c>
      <c r="H28" t="s">
        <v>2</v>
      </c>
      <c r="I28" s="13">
        <v>6503423.94809712</v>
      </c>
      <c r="J28">
        <v>0</v>
      </c>
      <c r="K28">
        <v>1</v>
      </c>
      <c r="L28">
        <v>0</v>
      </c>
      <c r="M28">
        <v>104</v>
      </c>
      <c r="N28" s="16">
        <v>6503423.94809712</v>
      </c>
      <c r="O28" s="16">
        <v>6503423.94809712</v>
      </c>
    </row>
    <row r="29" spans="1:15" ht="18.600000000000001">
      <c r="A29" t="s">
        <v>369</v>
      </c>
      <c r="B29" s="11" t="s">
        <v>310</v>
      </c>
      <c r="C29" t="s">
        <v>436</v>
      </c>
      <c r="D29" t="s">
        <v>437</v>
      </c>
      <c r="E29" t="s">
        <v>1</v>
      </c>
      <c r="F29" t="s">
        <v>437</v>
      </c>
      <c r="G29">
        <v>120</v>
      </c>
      <c r="H29" t="s">
        <v>2</v>
      </c>
      <c r="I29" s="13">
        <v>6503423.94809712</v>
      </c>
      <c r="J29">
        <v>0</v>
      </c>
      <c r="K29">
        <v>1</v>
      </c>
      <c r="L29">
        <v>0</v>
      </c>
      <c r="M29">
        <v>104</v>
      </c>
      <c r="N29" s="16">
        <v>6503423.94809712</v>
      </c>
      <c r="O29" s="16">
        <v>6503423.94809712</v>
      </c>
    </row>
    <row r="30" spans="1:15" ht="18.600000000000001">
      <c r="A30" t="s">
        <v>370</v>
      </c>
      <c r="B30" s="11" t="s">
        <v>310</v>
      </c>
      <c r="C30" t="s">
        <v>436</v>
      </c>
      <c r="D30" t="s">
        <v>437</v>
      </c>
      <c r="E30" t="s">
        <v>1</v>
      </c>
      <c r="F30" t="s">
        <v>437</v>
      </c>
      <c r="G30">
        <v>120</v>
      </c>
      <c r="H30" t="s">
        <v>2</v>
      </c>
      <c r="I30" s="13">
        <v>6503423.94809712</v>
      </c>
      <c r="J30">
        <v>0</v>
      </c>
      <c r="K30">
        <v>1</v>
      </c>
      <c r="L30">
        <v>0</v>
      </c>
      <c r="M30">
        <v>104</v>
      </c>
      <c r="N30" s="16">
        <v>6503423.94809712</v>
      </c>
      <c r="O30" s="16">
        <v>6503423.94809712</v>
      </c>
    </row>
    <row r="31" spans="1:15" ht="18.600000000000001">
      <c r="A31" t="s">
        <v>371</v>
      </c>
      <c r="B31" s="11" t="s">
        <v>310</v>
      </c>
      <c r="C31" t="s">
        <v>436</v>
      </c>
      <c r="D31" t="s">
        <v>437</v>
      </c>
      <c r="E31" t="s">
        <v>1</v>
      </c>
      <c r="F31" t="s">
        <v>437</v>
      </c>
      <c r="G31">
        <v>120</v>
      </c>
      <c r="H31" t="s">
        <v>2</v>
      </c>
      <c r="I31" s="13">
        <v>6503423.94809712</v>
      </c>
      <c r="J31">
        <v>0</v>
      </c>
      <c r="K31">
        <v>1</v>
      </c>
      <c r="L31">
        <v>0</v>
      </c>
      <c r="M31">
        <v>104</v>
      </c>
      <c r="N31" s="16">
        <v>6503423.94809712</v>
      </c>
      <c r="O31" s="16">
        <v>6503423.94809712</v>
      </c>
    </row>
    <row r="32" spans="1:15" ht="18.600000000000001">
      <c r="A32" t="s">
        <v>372</v>
      </c>
      <c r="B32" s="11" t="s">
        <v>310</v>
      </c>
      <c r="C32" t="s">
        <v>436</v>
      </c>
      <c r="D32" t="s">
        <v>437</v>
      </c>
      <c r="E32" t="s">
        <v>1</v>
      </c>
      <c r="F32" t="s">
        <v>437</v>
      </c>
      <c r="G32">
        <v>120</v>
      </c>
      <c r="H32" t="s">
        <v>2</v>
      </c>
      <c r="I32" s="13">
        <v>6503423.94809712</v>
      </c>
      <c r="J32">
        <v>0</v>
      </c>
      <c r="K32">
        <v>1</v>
      </c>
      <c r="L32">
        <v>0</v>
      </c>
      <c r="M32">
        <v>104</v>
      </c>
      <c r="N32" s="16">
        <v>6503423.94809712</v>
      </c>
      <c r="O32" s="16">
        <v>6503423.94809712</v>
      </c>
    </row>
    <row r="33" spans="1:15" ht="18.600000000000001">
      <c r="A33" t="s">
        <v>373</v>
      </c>
      <c r="B33" s="11" t="s">
        <v>310</v>
      </c>
      <c r="C33" t="s">
        <v>436</v>
      </c>
      <c r="D33" t="s">
        <v>437</v>
      </c>
      <c r="E33" t="s">
        <v>1</v>
      </c>
      <c r="F33" t="s">
        <v>437</v>
      </c>
      <c r="G33">
        <v>120</v>
      </c>
      <c r="H33" t="s">
        <v>2</v>
      </c>
      <c r="I33" s="13">
        <v>6503423.94809712</v>
      </c>
      <c r="J33">
        <v>0</v>
      </c>
      <c r="K33">
        <v>1</v>
      </c>
      <c r="L33">
        <v>0</v>
      </c>
      <c r="M33">
        <v>104</v>
      </c>
      <c r="N33" s="16">
        <v>6503423.94809712</v>
      </c>
      <c r="O33" s="16">
        <v>6503423.94809712</v>
      </c>
    </row>
    <row r="34" spans="1:15" ht="18.600000000000001">
      <c r="A34" t="s">
        <v>374</v>
      </c>
      <c r="B34" s="11" t="s">
        <v>310</v>
      </c>
      <c r="C34" t="s">
        <v>436</v>
      </c>
      <c r="D34" t="s">
        <v>437</v>
      </c>
      <c r="E34" t="s">
        <v>1</v>
      </c>
      <c r="F34" t="s">
        <v>437</v>
      </c>
      <c r="G34">
        <v>120</v>
      </c>
      <c r="H34" t="s">
        <v>2</v>
      </c>
      <c r="I34" s="13">
        <v>6503423.94809712</v>
      </c>
      <c r="J34">
        <v>0</v>
      </c>
      <c r="K34">
        <v>1</v>
      </c>
      <c r="L34">
        <v>0</v>
      </c>
      <c r="M34">
        <v>104</v>
      </c>
      <c r="N34" s="16">
        <v>6503423.94809712</v>
      </c>
      <c r="O34" s="16">
        <v>6503423.94809712</v>
      </c>
    </row>
    <row r="35" spans="1:15" ht="18.600000000000001">
      <c r="A35" t="s">
        <v>375</v>
      </c>
      <c r="B35" s="11" t="s">
        <v>311</v>
      </c>
      <c r="C35" t="s">
        <v>436</v>
      </c>
      <c r="D35" t="s">
        <v>437</v>
      </c>
      <c r="E35" t="s">
        <v>1</v>
      </c>
      <c r="F35" t="s">
        <v>437</v>
      </c>
      <c r="G35">
        <v>120</v>
      </c>
      <c r="H35" t="s">
        <v>2</v>
      </c>
      <c r="I35" s="13">
        <v>8796208.2686834391</v>
      </c>
      <c r="J35">
        <v>0</v>
      </c>
      <c r="K35">
        <v>1</v>
      </c>
      <c r="L35">
        <v>0</v>
      </c>
      <c r="M35">
        <v>104</v>
      </c>
      <c r="N35" s="16">
        <v>8796208.2686834391</v>
      </c>
      <c r="O35" s="16">
        <v>8796208.2686834391</v>
      </c>
    </row>
    <row r="36" spans="1:15" ht="18.600000000000001">
      <c r="A36" t="s">
        <v>376</v>
      </c>
      <c r="B36" s="11" t="s">
        <v>311</v>
      </c>
      <c r="C36" t="s">
        <v>436</v>
      </c>
      <c r="D36" t="s">
        <v>437</v>
      </c>
      <c r="E36" t="s">
        <v>1</v>
      </c>
      <c r="F36" t="s">
        <v>437</v>
      </c>
      <c r="G36">
        <v>120</v>
      </c>
      <c r="H36" t="s">
        <v>2</v>
      </c>
      <c r="I36" s="13">
        <v>8796208.2686834391</v>
      </c>
      <c r="J36">
        <v>0</v>
      </c>
      <c r="K36">
        <v>1</v>
      </c>
      <c r="L36">
        <v>0</v>
      </c>
      <c r="M36">
        <v>104</v>
      </c>
      <c r="N36" s="16">
        <v>8796208.2686834391</v>
      </c>
      <c r="O36" s="16">
        <v>8796208.2686834391</v>
      </c>
    </row>
    <row r="37" spans="1:15" ht="18.600000000000001">
      <c r="A37" t="s">
        <v>377</v>
      </c>
      <c r="B37" s="11" t="s">
        <v>312</v>
      </c>
      <c r="C37" t="s">
        <v>436</v>
      </c>
      <c r="D37" t="s">
        <v>437</v>
      </c>
      <c r="E37" t="s">
        <v>1</v>
      </c>
      <c r="F37" t="s">
        <v>437</v>
      </c>
      <c r="G37">
        <v>120</v>
      </c>
      <c r="H37" t="s">
        <v>2</v>
      </c>
      <c r="I37" s="13">
        <v>2496947.98076856</v>
      </c>
      <c r="J37">
        <v>0</v>
      </c>
      <c r="K37">
        <v>1</v>
      </c>
      <c r="L37">
        <v>0</v>
      </c>
      <c r="M37">
        <v>104</v>
      </c>
      <c r="N37" s="16">
        <v>2496947.98076856</v>
      </c>
      <c r="O37" s="16">
        <v>2496947.98076856</v>
      </c>
    </row>
    <row r="38" spans="1:15" ht="18.600000000000001">
      <c r="A38" t="s">
        <v>378</v>
      </c>
      <c r="B38" s="11" t="s">
        <v>313</v>
      </c>
      <c r="C38" t="s">
        <v>436</v>
      </c>
      <c r="D38" t="s">
        <v>437</v>
      </c>
      <c r="E38" t="s">
        <v>1</v>
      </c>
      <c r="F38" t="s">
        <v>437</v>
      </c>
      <c r="G38">
        <v>120</v>
      </c>
      <c r="H38" t="s">
        <v>2</v>
      </c>
      <c r="I38" s="13">
        <v>3473046.5150779202</v>
      </c>
      <c r="J38">
        <v>0</v>
      </c>
      <c r="K38">
        <v>1</v>
      </c>
      <c r="L38">
        <v>0</v>
      </c>
      <c r="M38">
        <v>104</v>
      </c>
      <c r="N38" s="16">
        <v>3473046.5150779202</v>
      </c>
      <c r="O38" s="16">
        <v>3473046.5150779202</v>
      </c>
    </row>
    <row r="39" spans="1:15" ht="18.600000000000001">
      <c r="A39" t="s">
        <v>379</v>
      </c>
      <c r="B39" s="11" t="s">
        <v>313</v>
      </c>
      <c r="C39" t="s">
        <v>436</v>
      </c>
      <c r="D39" t="s">
        <v>437</v>
      </c>
      <c r="E39" t="s">
        <v>1</v>
      </c>
      <c r="F39" t="s">
        <v>437</v>
      </c>
      <c r="G39">
        <v>120</v>
      </c>
      <c r="H39" t="s">
        <v>2</v>
      </c>
      <c r="I39" s="13">
        <v>3473046.5150779202</v>
      </c>
      <c r="J39">
        <v>0</v>
      </c>
      <c r="K39">
        <v>1</v>
      </c>
      <c r="L39">
        <v>0</v>
      </c>
      <c r="M39">
        <v>104</v>
      </c>
      <c r="N39" s="16">
        <v>3473046.5150779202</v>
      </c>
      <c r="O39" s="16">
        <v>3473046.5150779202</v>
      </c>
    </row>
    <row r="40" spans="1:15" ht="18.600000000000001">
      <c r="A40" t="s">
        <v>380</v>
      </c>
      <c r="B40" s="11" t="s">
        <v>313</v>
      </c>
      <c r="C40" t="s">
        <v>436</v>
      </c>
      <c r="D40" t="s">
        <v>437</v>
      </c>
      <c r="E40" t="s">
        <v>1</v>
      </c>
      <c r="F40" t="s">
        <v>437</v>
      </c>
      <c r="G40">
        <v>120</v>
      </c>
      <c r="H40" t="s">
        <v>2</v>
      </c>
      <c r="I40" s="13">
        <v>3473046.5150779202</v>
      </c>
      <c r="J40">
        <v>0</v>
      </c>
      <c r="K40">
        <v>1</v>
      </c>
      <c r="L40">
        <v>0</v>
      </c>
      <c r="M40">
        <v>104</v>
      </c>
      <c r="N40" s="16">
        <v>3473046.5150779202</v>
      </c>
      <c r="O40" s="16">
        <v>3473046.5150779202</v>
      </c>
    </row>
    <row r="41" spans="1:15" ht="18.600000000000001">
      <c r="A41" t="s">
        <v>381</v>
      </c>
      <c r="B41" s="11" t="s">
        <v>314</v>
      </c>
      <c r="C41" t="s">
        <v>436</v>
      </c>
      <c r="D41" t="s">
        <v>437</v>
      </c>
      <c r="E41" t="s">
        <v>1</v>
      </c>
      <c r="F41" t="s">
        <v>437</v>
      </c>
      <c r="G41">
        <v>120</v>
      </c>
      <c r="H41" t="s">
        <v>2</v>
      </c>
      <c r="I41" s="13">
        <v>3586638.49606656</v>
      </c>
      <c r="J41">
        <v>0</v>
      </c>
      <c r="K41">
        <v>1</v>
      </c>
      <c r="L41">
        <v>0</v>
      </c>
      <c r="M41">
        <v>104</v>
      </c>
      <c r="N41" s="16">
        <v>3586638.49606656</v>
      </c>
      <c r="O41" s="16">
        <v>3586638.49606656</v>
      </c>
    </row>
    <row r="42" spans="1:15" ht="18.600000000000001">
      <c r="A42" t="s">
        <v>382</v>
      </c>
      <c r="B42" s="11" t="s">
        <v>314</v>
      </c>
      <c r="C42" t="s">
        <v>436</v>
      </c>
      <c r="D42" t="s">
        <v>437</v>
      </c>
      <c r="E42" t="s">
        <v>1</v>
      </c>
      <c r="F42" t="s">
        <v>437</v>
      </c>
      <c r="G42">
        <v>120</v>
      </c>
      <c r="H42" t="s">
        <v>2</v>
      </c>
      <c r="I42" s="13">
        <v>3586638.49606656</v>
      </c>
      <c r="J42">
        <v>0</v>
      </c>
      <c r="K42">
        <v>1</v>
      </c>
      <c r="L42">
        <v>0</v>
      </c>
      <c r="M42">
        <v>104</v>
      </c>
      <c r="N42" s="16">
        <v>3586638.49606656</v>
      </c>
      <c r="O42" s="16">
        <v>3586638.49606656</v>
      </c>
    </row>
    <row r="43" spans="1:15" ht="18.600000000000001">
      <c r="A43" t="s">
        <v>383</v>
      </c>
      <c r="B43" s="11" t="s">
        <v>314</v>
      </c>
      <c r="C43" t="s">
        <v>436</v>
      </c>
      <c r="D43" t="s">
        <v>437</v>
      </c>
      <c r="E43" t="s">
        <v>1</v>
      </c>
      <c r="F43" t="s">
        <v>437</v>
      </c>
      <c r="G43">
        <v>120</v>
      </c>
      <c r="H43" t="s">
        <v>2</v>
      </c>
      <c r="I43" s="13">
        <v>3586638.49606656</v>
      </c>
      <c r="J43">
        <v>0</v>
      </c>
      <c r="K43">
        <v>1</v>
      </c>
      <c r="L43">
        <v>0</v>
      </c>
      <c r="M43">
        <v>104</v>
      </c>
      <c r="N43" s="16">
        <v>3586638.49606656</v>
      </c>
      <c r="O43" s="16">
        <v>3586638.49606656</v>
      </c>
    </row>
    <row r="44" spans="1:15" ht="18.600000000000001">
      <c r="A44" t="s">
        <v>384</v>
      </c>
      <c r="B44" s="11" t="s">
        <v>314</v>
      </c>
      <c r="C44" t="s">
        <v>436</v>
      </c>
      <c r="D44" t="s">
        <v>437</v>
      </c>
      <c r="E44" t="s">
        <v>1</v>
      </c>
      <c r="F44" t="s">
        <v>437</v>
      </c>
      <c r="G44">
        <v>120</v>
      </c>
      <c r="H44" t="s">
        <v>2</v>
      </c>
      <c r="I44" s="13">
        <v>3586638.49606656</v>
      </c>
      <c r="J44">
        <v>0</v>
      </c>
      <c r="K44">
        <v>1</v>
      </c>
      <c r="L44">
        <v>0</v>
      </c>
      <c r="M44">
        <v>104</v>
      </c>
      <c r="N44" s="16">
        <v>3586638.49606656</v>
      </c>
      <c r="O44" s="16">
        <v>3586638.49606656</v>
      </c>
    </row>
    <row r="45" spans="1:15" ht="18.600000000000001">
      <c r="A45" t="s">
        <v>385</v>
      </c>
      <c r="B45" s="11" t="s">
        <v>314</v>
      </c>
      <c r="C45" t="s">
        <v>436</v>
      </c>
      <c r="D45" t="s">
        <v>437</v>
      </c>
      <c r="E45" t="s">
        <v>1</v>
      </c>
      <c r="F45" t="s">
        <v>437</v>
      </c>
      <c r="G45">
        <v>120</v>
      </c>
      <c r="H45" t="s">
        <v>2</v>
      </c>
      <c r="I45" s="13">
        <v>3586638.49606656</v>
      </c>
      <c r="J45">
        <v>0</v>
      </c>
      <c r="K45">
        <v>1</v>
      </c>
      <c r="L45">
        <v>0</v>
      </c>
      <c r="M45">
        <v>104</v>
      </c>
      <c r="N45" s="16">
        <v>3586638.49606656</v>
      </c>
      <c r="O45" s="16">
        <v>3586638.49606656</v>
      </c>
    </row>
    <row r="46" spans="1:15" ht="18.600000000000001">
      <c r="A46" t="s">
        <v>386</v>
      </c>
      <c r="B46" s="11" t="s">
        <v>314</v>
      </c>
      <c r="C46" t="s">
        <v>436</v>
      </c>
      <c r="D46" t="s">
        <v>437</v>
      </c>
      <c r="E46" t="s">
        <v>1</v>
      </c>
      <c r="F46" t="s">
        <v>437</v>
      </c>
      <c r="G46">
        <v>120</v>
      </c>
      <c r="H46" t="s">
        <v>2</v>
      </c>
      <c r="I46" s="13">
        <v>3586638.49606656</v>
      </c>
      <c r="J46">
        <v>0</v>
      </c>
      <c r="K46">
        <v>1</v>
      </c>
      <c r="L46">
        <v>0</v>
      </c>
      <c r="M46">
        <v>104</v>
      </c>
      <c r="N46" s="16">
        <v>3586638.49606656</v>
      </c>
      <c r="O46" s="16">
        <v>3586638.49606656</v>
      </c>
    </row>
    <row r="47" spans="1:15" ht="18.600000000000001">
      <c r="A47" t="s">
        <v>387</v>
      </c>
      <c r="B47" s="11" t="s">
        <v>314</v>
      </c>
      <c r="C47" t="s">
        <v>436</v>
      </c>
      <c r="D47" t="s">
        <v>437</v>
      </c>
      <c r="E47" t="s">
        <v>1</v>
      </c>
      <c r="F47" t="s">
        <v>437</v>
      </c>
      <c r="G47">
        <v>120</v>
      </c>
      <c r="H47" t="s">
        <v>2</v>
      </c>
      <c r="I47" s="13">
        <v>3586638.49606656</v>
      </c>
      <c r="J47">
        <v>0</v>
      </c>
      <c r="K47">
        <v>1</v>
      </c>
      <c r="L47">
        <v>0</v>
      </c>
      <c r="M47">
        <v>104</v>
      </c>
      <c r="N47" s="16">
        <v>3586638.49606656</v>
      </c>
      <c r="O47" s="16">
        <v>3586638.49606656</v>
      </c>
    </row>
    <row r="48" spans="1:15" ht="18.600000000000001">
      <c r="A48" t="s">
        <v>388</v>
      </c>
      <c r="B48" s="11" t="s">
        <v>314</v>
      </c>
      <c r="C48" t="s">
        <v>436</v>
      </c>
      <c r="D48" t="s">
        <v>437</v>
      </c>
      <c r="E48" t="s">
        <v>1</v>
      </c>
      <c r="F48" t="s">
        <v>437</v>
      </c>
      <c r="G48">
        <v>120</v>
      </c>
      <c r="H48" t="s">
        <v>2</v>
      </c>
      <c r="I48" s="13">
        <v>3586638.49606656</v>
      </c>
      <c r="J48">
        <v>0</v>
      </c>
      <c r="K48">
        <v>1</v>
      </c>
      <c r="L48">
        <v>0</v>
      </c>
      <c r="M48">
        <v>104</v>
      </c>
      <c r="N48" s="16">
        <v>3586638.49606656</v>
      </c>
      <c r="O48" s="16">
        <v>3586638.49606656</v>
      </c>
    </row>
    <row r="49" spans="1:15" ht="18.600000000000001">
      <c r="A49" t="s">
        <v>389</v>
      </c>
      <c r="B49" s="11" t="s">
        <v>315</v>
      </c>
      <c r="C49" t="s">
        <v>436</v>
      </c>
      <c r="D49" t="s">
        <v>437</v>
      </c>
      <c r="E49" t="s">
        <v>1</v>
      </c>
      <c r="F49" t="s">
        <v>437</v>
      </c>
      <c r="G49">
        <v>120</v>
      </c>
      <c r="H49" t="s">
        <v>2</v>
      </c>
      <c r="I49" s="13">
        <v>3143969.4140078402</v>
      </c>
      <c r="J49">
        <v>0</v>
      </c>
      <c r="K49">
        <v>1</v>
      </c>
      <c r="L49">
        <v>0</v>
      </c>
      <c r="M49">
        <v>104</v>
      </c>
      <c r="N49" s="16">
        <v>3143969.4140078402</v>
      </c>
      <c r="O49" s="16">
        <v>3143969.4140078402</v>
      </c>
    </row>
    <row r="50" spans="1:15" ht="18.600000000000001">
      <c r="A50" t="s">
        <v>390</v>
      </c>
      <c r="B50" s="11" t="s">
        <v>316</v>
      </c>
      <c r="C50" t="s">
        <v>436</v>
      </c>
      <c r="D50" t="s">
        <v>437</v>
      </c>
      <c r="E50" t="s">
        <v>1</v>
      </c>
      <c r="F50" t="s">
        <v>437</v>
      </c>
      <c r="G50">
        <v>120</v>
      </c>
      <c r="H50" t="s">
        <v>2</v>
      </c>
      <c r="I50" s="13">
        <v>2797721.4320906401</v>
      </c>
      <c r="J50">
        <v>0</v>
      </c>
      <c r="K50">
        <v>1</v>
      </c>
      <c r="L50">
        <v>0</v>
      </c>
      <c r="M50">
        <v>104</v>
      </c>
      <c r="N50" s="16">
        <v>2797721.4320906401</v>
      </c>
      <c r="O50" s="16">
        <v>2797721.4320906401</v>
      </c>
    </row>
    <row r="51" spans="1:15" ht="18.600000000000001">
      <c r="A51" t="s">
        <v>391</v>
      </c>
      <c r="B51" s="11" t="s">
        <v>316</v>
      </c>
      <c r="C51" t="s">
        <v>436</v>
      </c>
      <c r="D51" t="s">
        <v>437</v>
      </c>
      <c r="E51" t="s">
        <v>1</v>
      </c>
      <c r="F51" t="s">
        <v>437</v>
      </c>
      <c r="G51">
        <v>120</v>
      </c>
      <c r="H51" t="s">
        <v>2</v>
      </c>
      <c r="I51" s="13">
        <v>2797721.4320906401</v>
      </c>
      <c r="J51">
        <v>0</v>
      </c>
      <c r="K51">
        <v>1</v>
      </c>
      <c r="L51">
        <v>0</v>
      </c>
      <c r="M51">
        <v>104</v>
      </c>
      <c r="N51" s="16">
        <v>2797721.4320906401</v>
      </c>
      <c r="O51" s="16">
        <v>2797721.4320906401</v>
      </c>
    </row>
    <row r="52" spans="1:15" ht="18.600000000000001">
      <c r="A52" t="s">
        <v>392</v>
      </c>
      <c r="B52" s="11" t="s">
        <v>316</v>
      </c>
      <c r="C52" t="s">
        <v>436</v>
      </c>
      <c r="D52" t="s">
        <v>437</v>
      </c>
      <c r="E52" t="s">
        <v>1</v>
      </c>
      <c r="F52" t="s">
        <v>437</v>
      </c>
      <c r="G52">
        <v>120</v>
      </c>
      <c r="H52" t="s">
        <v>2</v>
      </c>
      <c r="I52" s="13">
        <v>2797721.4320906401</v>
      </c>
      <c r="J52">
        <v>0</v>
      </c>
      <c r="K52">
        <v>1</v>
      </c>
      <c r="L52">
        <v>0</v>
      </c>
      <c r="M52">
        <v>104</v>
      </c>
      <c r="N52" s="16">
        <v>2797721.4320906401</v>
      </c>
      <c r="O52" s="16">
        <v>2797721.4320906401</v>
      </c>
    </row>
    <row r="53" spans="1:15" ht="18.600000000000001">
      <c r="A53" t="s">
        <v>393</v>
      </c>
      <c r="B53" s="11" t="s">
        <v>316</v>
      </c>
      <c r="C53" t="s">
        <v>436</v>
      </c>
      <c r="D53" t="s">
        <v>437</v>
      </c>
      <c r="E53" t="s">
        <v>1</v>
      </c>
      <c r="F53" t="s">
        <v>437</v>
      </c>
      <c r="G53">
        <v>120</v>
      </c>
      <c r="H53" t="s">
        <v>2</v>
      </c>
      <c r="I53" s="13">
        <v>2797721.4320906401</v>
      </c>
      <c r="J53">
        <v>0</v>
      </c>
      <c r="K53">
        <v>1</v>
      </c>
      <c r="L53">
        <v>0</v>
      </c>
      <c r="M53">
        <v>104</v>
      </c>
      <c r="N53" s="16">
        <v>2797721.4320906401</v>
      </c>
      <c r="O53" s="16">
        <v>2797721.4320906401</v>
      </c>
    </row>
    <row r="54" spans="1:15" ht="18.600000000000001">
      <c r="A54" t="s">
        <v>394</v>
      </c>
      <c r="B54" s="11" t="s">
        <v>316</v>
      </c>
      <c r="C54" t="s">
        <v>436</v>
      </c>
      <c r="D54" t="s">
        <v>437</v>
      </c>
      <c r="E54" t="s">
        <v>1</v>
      </c>
      <c r="F54" t="s">
        <v>437</v>
      </c>
      <c r="G54">
        <v>120</v>
      </c>
      <c r="H54" t="s">
        <v>2</v>
      </c>
      <c r="I54" s="13">
        <v>2797721.4320906401</v>
      </c>
      <c r="J54">
        <v>0</v>
      </c>
      <c r="K54">
        <v>1</v>
      </c>
      <c r="L54">
        <v>0</v>
      </c>
      <c r="M54">
        <v>104</v>
      </c>
      <c r="N54" s="16">
        <v>2797721.4320906401</v>
      </c>
      <c r="O54" s="16">
        <v>2797721.4320906401</v>
      </c>
    </row>
    <row r="55" spans="1:15" ht="18.600000000000001">
      <c r="A55" t="s">
        <v>395</v>
      </c>
      <c r="B55" s="11" t="s">
        <v>316</v>
      </c>
      <c r="C55" t="s">
        <v>436</v>
      </c>
      <c r="D55" t="s">
        <v>437</v>
      </c>
      <c r="E55" t="s">
        <v>1</v>
      </c>
      <c r="F55" t="s">
        <v>437</v>
      </c>
      <c r="G55">
        <v>120</v>
      </c>
      <c r="H55" t="s">
        <v>2</v>
      </c>
      <c r="I55" s="13">
        <v>2797721.4320906401</v>
      </c>
      <c r="J55">
        <v>0</v>
      </c>
      <c r="K55">
        <v>1</v>
      </c>
      <c r="L55">
        <v>0</v>
      </c>
      <c r="M55">
        <v>104</v>
      </c>
      <c r="N55" s="16">
        <v>2797721.4320906401</v>
      </c>
      <c r="O55" s="16">
        <v>2797721.4320906401</v>
      </c>
    </row>
    <row r="56" spans="1:15" ht="18.600000000000001">
      <c r="A56" t="s">
        <v>396</v>
      </c>
      <c r="B56" s="11" t="s">
        <v>316</v>
      </c>
      <c r="C56" t="s">
        <v>436</v>
      </c>
      <c r="D56" t="s">
        <v>437</v>
      </c>
      <c r="E56" t="s">
        <v>1</v>
      </c>
      <c r="F56" t="s">
        <v>437</v>
      </c>
      <c r="G56">
        <v>120</v>
      </c>
      <c r="H56" t="s">
        <v>2</v>
      </c>
      <c r="I56" s="13">
        <v>2797721.4320906401</v>
      </c>
      <c r="J56">
        <v>0</v>
      </c>
      <c r="K56">
        <v>1</v>
      </c>
      <c r="L56">
        <v>0</v>
      </c>
      <c r="M56">
        <v>104</v>
      </c>
      <c r="N56" s="16">
        <v>2797721.4320906401</v>
      </c>
      <c r="O56" s="16">
        <v>2797721.4320906401</v>
      </c>
    </row>
    <row r="57" spans="1:15" ht="18.600000000000001">
      <c r="A57" t="s">
        <v>397</v>
      </c>
      <c r="B57" s="11" t="s">
        <v>316</v>
      </c>
      <c r="C57" t="s">
        <v>436</v>
      </c>
      <c r="D57" t="s">
        <v>437</v>
      </c>
      <c r="E57" t="s">
        <v>1</v>
      </c>
      <c r="F57" t="s">
        <v>437</v>
      </c>
      <c r="G57">
        <v>120</v>
      </c>
      <c r="H57" t="s">
        <v>2</v>
      </c>
      <c r="I57" s="13">
        <v>2797721.4320906401</v>
      </c>
      <c r="J57">
        <v>0</v>
      </c>
      <c r="K57">
        <v>1</v>
      </c>
      <c r="L57">
        <v>0</v>
      </c>
      <c r="M57">
        <v>104</v>
      </c>
      <c r="N57" s="16">
        <v>2797721.4320906401</v>
      </c>
      <c r="O57" s="16">
        <v>2797721.4320906401</v>
      </c>
    </row>
    <row r="58" spans="1:15" ht="18.600000000000001">
      <c r="A58" t="s">
        <v>398</v>
      </c>
      <c r="B58" s="11" t="s">
        <v>317</v>
      </c>
      <c r="C58" t="s">
        <v>436</v>
      </c>
      <c r="D58" t="s">
        <v>437</v>
      </c>
      <c r="E58" t="s">
        <v>1</v>
      </c>
      <c r="F58" t="s">
        <v>437</v>
      </c>
      <c r="G58">
        <v>120</v>
      </c>
      <c r="H58" t="s">
        <v>2</v>
      </c>
      <c r="I58" s="13">
        <v>33237919.354068004</v>
      </c>
      <c r="J58">
        <v>0</v>
      </c>
      <c r="K58">
        <v>1</v>
      </c>
      <c r="L58">
        <v>0</v>
      </c>
      <c r="M58">
        <v>104</v>
      </c>
      <c r="N58" s="16">
        <v>33237919.354068004</v>
      </c>
      <c r="O58" s="16">
        <v>33237919.354068004</v>
      </c>
    </row>
    <row r="59" spans="1:15" ht="18.600000000000001">
      <c r="A59" t="s">
        <v>399</v>
      </c>
      <c r="B59" s="11" t="s">
        <v>318</v>
      </c>
      <c r="C59" t="s">
        <v>436</v>
      </c>
      <c r="D59" t="s">
        <v>437</v>
      </c>
      <c r="E59" t="s">
        <v>1</v>
      </c>
      <c r="F59" t="s">
        <v>437</v>
      </c>
      <c r="G59">
        <v>120</v>
      </c>
      <c r="H59" t="s">
        <v>2</v>
      </c>
      <c r="I59" s="13">
        <v>5845081.0549586397</v>
      </c>
      <c r="J59">
        <v>0</v>
      </c>
      <c r="K59">
        <v>1</v>
      </c>
      <c r="L59">
        <v>0</v>
      </c>
      <c r="M59">
        <v>104</v>
      </c>
      <c r="N59" s="16">
        <v>5845081.0549586397</v>
      </c>
      <c r="O59" s="16">
        <v>5845081.0549586397</v>
      </c>
    </row>
    <row r="60" spans="1:15" ht="18.600000000000001">
      <c r="A60" t="s">
        <v>400</v>
      </c>
      <c r="B60" s="11" t="s">
        <v>318</v>
      </c>
      <c r="C60" t="s">
        <v>436</v>
      </c>
      <c r="D60" t="s">
        <v>437</v>
      </c>
      <c r="E60" t="s">
        <v>1</v>
      </c>
      <c r="F60" t="s">
        <v>437</v>
      </c>
      <c r="G60">
        <v>120</v>
      </c>
      <c r="H60" t="s">
        <v>2</v>
      </c>
      <c r="I60" s="13">
        <v>5845081.0549586397</v>
      </c>
      <c r="J60">
        <v>0</v>
      </c>
      <c r="K60">
        <v>1</v>
      </c>
      <c r="L60">
        <v>0</v>
      </c>
      <c r="M60">
        <v>104</v>
      </c>
      <c r="N60" s="16">
        <v>5845081.0549586397</v>
      </c>
      <c r="O60" s="16">
        <v>5845081.0549586397</v>
      </c>
    </row>
    <row r="61" spans="1:15" ht="18.600000000000001">
      <c r="A61" t="s">
        <v>401</v>
      </c>
      <c r="B61" s="11" t="s">
        <v>318</v>
      </c>
      <c r="C61" t="s">
        <v>436</v>
      </c>
      <c r="D61" t="s">
        <v>437</v>
      </c>
      <c r="E61" t="s">
        <v>1</v>
      </c>
      <c r="F61" t="s">
        <v>437</v>
      </c>
      <c r="G61">
        <v>120</v>
      </c>
      <c r="H61" t="s">
        <v>2</v>
      </c>
      <c r="I61" s="13">
        <v>5845081.0549586397</v>
      </c>
      <c r="J61">
        <v>0</v>
      </c>
      <c r="K61">
        <v>1</v>
      </c>
      <c r="L61">
        <v>0</v>
      </c>
      <c r="M61">
        <v>104</v>
      </c>
      <c r="N61" s="16">
        <v>5845081.0549586397</v>
      </c>
      <c r="O61" s="16">
        <v>5845081.0549586397</v>
      </c>
    </row>
    <row r="62" spans="1:15" ht="18.600000000000001">
      <c r="A62" t="s">
        <v>402</v>
      </c>
      <c r="B62" s="11" t="s">
        <v>318</v>
      </c>
      <c r="C62" t="s">
        <v>436</v>
      </c>
      <c r="D62" t="s">
        <v>437</v>
      </c>
      <c r="E62" t="s">
        <v>1</v>
      </c>
      <c r="F62" t="s">
        <v>437</v>
      </c>
      <c r="G62">
        <v>120</v>
      </c>
      <c r="H62" t="s">
        <v>2</v>
      </c>
      <c r="I62" s="13">
        <v>5845081.0549586397</v>
      </c>
      <c r="J62">
        <v>0</v>
      </c>
      <c r="K62">
        <v>1</v>
      </c>
      <c r="L62">
        <v>0</v>
      </c>
      <c r="M62">
        <v>104</v>
      </c>
      <c r="N62" s="16">
        <v>5845081.0549586397</v>
      </c>
      <c r="O62" s="16">
        <v>5845081.0549586397</v>
      </c>
    </row>
    <row r="63" spans="1:15" ht="18.600000000000001">
      <c r="A63" t="s">
        <v>403</v>
      </c>
      <c r="B63" s="11" t="s">
        <v>318</v>
      </c>
      <c r="C63" t="s">
        <v>436</v>
      </c>
      <c r="D63" t="s">
        <v>437</v>
      </c>
      <c r="E63" t="s">
        <v>1</v>
      </c>
      <c r="F63" t="s">
        <v>437</v>
      </c>
      <c r="G63">
        <v>120</v>
      </c>
      <c r="H63" t="s">
        <v>2</v>
      </c>
      <c r="I63" s="13">
        <v>5845081.0549586397</v>
      </c>
      <c r="J63">
        <v>0</v>
      </c>
      <c r="K63">
        <v>1</v>
      </c>
      <c r="L63">
        <v>0</v>
      </c>
      <c r="M63">
        <v>104</v>
      </c>
      <c r="N63" s="16">
        <v>5845081.0549586397</v>
      </c>
      <c r="O63" s="16">
        <v>5845081.0549586397</v>
      </c>
    </row>
    <row r="64" spans="1:15" ht="18.600000000000001">
      <c r="A64" t="s">
        <v>404</v>
      </c>
      <c r="B64" s="11" t="s">
        <v>318</v>
      </c>
      <c r="C64" t="s">
        <v>436</v>
      </c>
      <c r="D64" t="s">
        <v>437</v>
      </c>
      <c r="E64" t="s">
        <v>1</v>
      </c>
      <c r="F64" t="s">
        <v>437</v>
      </c>
      <c r="G64">
        <v>120</v>
      </c>
      <c r="H64" t="s">
        <v>2</v>
      </c>
      <c r="I64" s="13">
        <v>5845081.0549586397</v>
      </c>
      <c r="J64">
        <v>0</v>
      </c>
      <c r="K64">
        <v>1</v>
      </c>
      <c r="L64">
        <v>0</v>
      </c>
      <c r="M64">
        <v>104</v>
      </c>
      <c r="N64" s="16">
        <v>5845081.0549586397</v>
      </c>
      <c r="O64" s="16">
        <v>5845081.0549586397</v>
      </c>
    </row>
    <row r="65" spans="1:15" ht="18.600000000000001">
      <c r="A65" t="s">
        <v>405</v>
      </c>
      <c r="B65" s="11" t="s">
        <v>318</v>
      </c>
      <c r="C65" t="s">
        <v>436</v>
      </c>
      <c r="D65" t="s">
        <v>437</v>
      </c>
      <c r="E65" t="s">
        <v>1</v>
      </c>
      <c r="F65" t="s">
        <v>437</v>
      </c>
      <c r="G65">
        <v>120</v>
      </c>
      <c r="H65" t="s">
        <v>2</v>
      </c>
      <c r="I65" s="13">
        <v>5845081.0549586397</v>
      </c>
      <c r="J65">
        <v>0</v>
      </c>
      <c r="K65">
        <v>1</v>
      </c>
      <c r="L65">
        <v>0</v>
      </c>
      <c r="M65">
        <v>104</v>
      </c>
      <c r="N65" s="16">
        <v>5845081.0549586397</v>
      </c>
      <c r="O65" s="16">
        <v>5845081.0549586397</v>
      </c>
    </row>
    <row r="66" spans="1:15" ht="18.600000000000001">
      <c r="A66" t="s">
        <v>406</v>
      </c>
      <c r="B66" s="11" t="s">
        <v>318</v>
      </c>
      <c r="C66" t="s">
        <v>436</v>
      </c>
      <c r="D66" t="s">
        <v>437</v>
      </c>
      <c r="E66" t="s">
        <v>1</v>
      </c>
      <c r="F66" t="s">
        <v>437</v>
      </c>
      <c r="G66">
        <v>120</v>
      </c>
      <c r="H66" t="s">
        <v>2</v>
      </c>
      <c r="I66" s="13">
        <v>5845081.0549586397</v>
      </c>
      <c r="J66">
        <v>0</v>
      </c>
      <c r="K66">
        <v>1</v>
      </c>
      <c r="L66">
        <v>0</v>
      </c>
      <c r="M66">
        <v>104</v>
      </c>
      <c r="N66" s="16">
        <v>5845081.0549586397</v>
      </c>
      <c r="O66" s="16">
        <v>5845081.0549586397</v>
      </c>
    </row>
    <row r="67" spans="1:15" ht="18.600000000000001">
      <c r="A67" t="s">
        <v>407</v>
      </c>
      <c r="B67" s="11" t="s">
        <v>318</v>
      </c>
      <c r="C67" t="s">
        <v>436</v>
      </c>
      <c r="D67" t="s">
        <v>437</v>
      </c>
      <c r="E67" t="s">
        <v>1</v>
      </c>
      <c r="F67" t="s">
        <v>437</v>
      </c>
      <c r="G67">
        <v>120</v>
      </c>
      <c r="H67" t="s">
        <v>2</v>
      </c>
      <c r="I67" s="13">
        <v>5845081.0549586397</v>
      </c>
      <c r="J67">
        <v>0</v>
      </c>
      <c r="K67">
        <v>1</v>
      </c>
      <c r="L67">
        <v>0</v>
      </c>
      <c r="M67">
        <v>104</v>
      </c>
      <c r="N67" s="16">
        <v>5845081.0549586397</v>
      </c>
      <c r="O67" s="16">
        <v>5845081.0549586397</v>
      </c>
    </row>
    <row r="68" spans="1:15" ht="18.600000000000001">
      <c r="A68" t="s">
        <v>408</v>
      </c>
      <c r="B68" s="11" t="s">
        <v>319</v>
      </c>
      <c r="C68" t="s">
        <v>436</v>
      </c>
      <c r="D68" t="s">
        <v>437</v>
      </c>
      <c r="E68" t="s">
        <v>1</v>
      </c>
      <c r="F68" t="s">
        <v>437</v>
      </c>
      <c r="G68">
        <v>120</v>
      </c>
      <c r="H68" t="s">
        <v>2</v>
      </c>
      <c r="I68" s="13">
        <v>8943575.9383713603</v>
      </c>
      <c r="J68">
        <v>0</v>
      </c>
      <c r="K68">
        <v>1</v>
      </c>
      <c r="L68">
        <v>0</v>
      </c>
      <c r="M68">
        <v>104</v>
      </c>
      <c r="N68" s="16">
        <v>8943575.9383713603</v>
      </c>
      <c r="O68" s="16">
        <v>8943575.9383713603</v>
      </c>
    </row>
    <row r="69" spans="1:15" ht="18.600000000000001">
      <c r="A69" t="s">
        <v>409</v>
      </c>
      <c r="B69" s="11" t="s">
        <v>320</v>
      </c>
      <c r="C69" t="s">
        <v>436</v>
      </c>
      <c r="D69" t="s">
        <v>437</v>
      </c>
      <c r="E69" t="s">
        <v>1</v>
      </c>
      <c r="F69" t="s">
        <v>437</v>
      </c>
      <c r="G69">
        <v>120</v>
      </c>
      <c r="H69" t="s">
        <v>2</v>
      </c>
      <c r="I69" s="13">
        <v>4687461.7802654402</v>
      </c>
      <c r="J69">
        <v>0</v>
      </c>
      <c r="K69">
        <v>1</v>
      </c>
      <c r="L69">
        <v>0</v>
      </c>
      <c r="M69">
        <v>104</v>
      </c>
      <c r="N69" s="16">
        <v>4687461.7802654402</v>
      </c>
      <c r="O69" s="16">
        <v>4687461.7802654402</v>
      </c>
    </row>
    <row r="70" spans="1:15" ht="18.600000000000001">
      <c r="A70" t="s">
        <v>410</v>
      </c>
      <c r="B70" s="11" t="s">
        <v>321</v>
      </c>
      <c r="C70" t="s">
        <v>436</v>
      </c>
      <c r="D70" t="s">
        <v>437</v>
      </c>
      <c r="E70" t="s">
        <v>1</v>
      </c>
      <c r="F70" t="s">
        <v>437</v>
      </c>
      <c r="G70">
        <v>120</v>
      </c>
      <c r="H70" t="s">
        <v>2</v>
      </c>
      <c r="I70" s="13">
        <v>4687461.7802654402</v>
      </c>
      <c r="J70">
        <v>0</v>
      </c>
      <c r="K70">
        <v>1</v>
      </c>
      <c r="L70">
        <v>0</v>
      </c>
      <c r="M70">
        <v>104</v>
      </c>
      <c r="N70" s="16">
        <v>4687461.7802654402</v>
      </c>
      <c r="O70" s="16">
        <v>4687461.7802654402</v>
      </c>
    </row>
    <row r="71" spans="1:15" ht="18.600000000000001">
      <c r="A71" t="s">
        <v>411</v>
      </c>
      <c r="B71" s="11" t="s">
        <v>321</v>
      </c>
      <c r="C71" t="s">
        <v>436</v>
      </c>
      <c r="D71" t="s">
        <v>437</v>
      </c>
      <c r="E71" t="s">
        <v>1</v>
      </c>
      <c r="F71" t="s">
        <v>437</v>
      </c>
      <c r="G71">
        <v>120</v>
      </c>
      <c r="H71" t="s">
        <v>2</v>
      </c>
      <c r="I71" s="13">
        <v>4687461.7802654402</v>
      </c>
      <c r="J71">
        <v>0</v>
      </c>
      <c r="K71">
        <v>1</v>
      </c>
      <c r="L71">
        <v>0</v>
      </c>
      <c r="M71">
        <v>104</v>
      </c>
      <c r="N71" s="16">
        <v>4687461.7802654402</v>
      </c>
      <c r="O71" s="16">
        <v>4687461.7802654402</v>
      </c>
    </row>
    <row r="72" spans="1:15" ht="18.600000000000001">
      <c r="A72" t="s">
        <v>412</v>
      </c>
      <c r="B72" s="11" t="s">
        <v>321</v>
      </c>
      <c r="C72" t="s">
        <v>436</v>
      </c>
      <c r="D72" t="s">
        <v>437</v>
      </c>
      <c r="E72" t="s">
        <v>1</v>
      </c>
      <c r="F72" t="s">
        <v>437</v>
      </c>
      <c r="G72">
        <v>120</v>
      </c>
      <c r="H72" t="s">
        <v>2</v>
      </c>
      <c r="I72" s="13">
        <v>4687461.7802654402</v>
      </c>
      <c r="J72">
        <v>0</v>
      </c>
      <c r="K72">
        <v>1</v>
      </c>
      <c r="L72">
        <v>0</v>
      </c>
      <c r="M72">
        <v>104</v>
      </c>
      <c r="N72" s="16">
        <v>4687461.7802654402</v>
      </c>
      <c r="O72" s="16">
        <v>4687461.7802654402</v>
      </c>
    </row>
    <row r="73" spans="1:15" ht="18.600000000000001">
      <c r="A73" t="s">
        <v>413</v>
      </c>
      <c r="B73" s="11" t="s">
        <v>322</v>
      </c>
      <c r="C73" t="s">
        <v>436</v>
      </c>
      <c r="D73" t="s">
        <v>437</v>
      </c>
      <c r="E73" t="s">
        <v>1</v>
      </c>
      <c r="F73" t="s">
        <v>437</v>
      </c>
      <c r="G73">
        <v>120</v>
      </c>
      <c r="H73" t="s">
        <v>2</v>
      </c>
      <c r="I73" s="13">
        <v>8569212.9977044798</v>
      </c>
      <c r="J73">
        <v>0</v>
      </c>
      <c r="K73">
        <v>1</v>
      </c>
      <c r="L73">
        <v>0</v>
      </c>
      <c r="M73">
        <v>104</v>
      </c>
      <c r="N73" s="16">
        <v>8569212.9977044798</v>
      </c>
      <c r="O73" s="16">
        <v>8569212.9977044798</v>
      </c>
    </row>
    <row r="74" spans="1:15" ht="18.600000000000001">
      <c r="A74" t="s">
        <v>414</v>
      </c>
      <c r="B74" s="11" t="s">
        <v>323</v>
      </c>
      <c r="C74" t="s">
        <v>436</v>
      </c>
      <c r="D74" t="s">
        <v>437</v>
      </c>
      <c r="E74" t="s">
        <v>1</v>
      </c>
      <c r="F74" t="s">
        <v>437</v>
      </c>
      <c r="G74">
        <v>120</v>
      </c>
      <c r="H74" t="s">
        <v>2</v>
      </c>
      <c r="I74" s="13">
        <v>1117994.1650459999</v>
      </c>
      <c r="J74">
        <v>0</v>
      </c>
      <c r="K74">
        <v>1</v>
      </c>
      <c r="L74">
        <v>0</v>
      </c>
      <c r="M74">
        <v>104</v>
      </c>
      <c r="N74" s="16">
        <v>1117994.1650459999</v>
      </c>
      <c r="O74" s="16">
        <v>1117994.1650459999</v>
      </c>
    </row>
    <row r="75" spans="1:15" ht="18.600000000000001">
      <c r="A75" t="s">
        <v>415</v>
      </c>
      <c r="B75" s="11" t="s">
        <v>323</v>
      </c>
      <c r="C75" t="s">
        <v>436</v>
      </c>
      <c r="D75" t="s">
        <v>437</v>
      </c>
      <c r="E75" t="s">
        <v>1</v>
      </c>
      <c r="F75" t="s">
        <v>437</v>
      </c>
      <c r="G75">
        <v>120</v>
      </c>
      <c r="H75" t="s">
        <v>2</v>
      </c>
      <c r="I75" s="13">
        <v>487641.11754599999</v>
      </c>
      <c r="J75">
        <v>0</v>
      </c>
      <c r="K75">
        <v>1</v>
      </c>
      <c r="L75">
        <v>0</v>
      </c>
      <c r="M75">
        <v>104</v>
      </c>
      <c r="N75" s="16">
        <v>487641.11754599999</v>
      </c>
      <c r="O75" s="16">
        <v>487641.11754599999</v>
      </c>
    </row>
    <row r="76" spans="1:15" ht="18.600000000000001">
      <c r="A76" t="s">
        <v>416</v>
      </c>
      <c r="B76" s="11" t="s">
        <v>323</v>
      </c>
      <c r="C76" t="s">
        <v>436</v>
      </c>
      <c r="D76" t="s">
        <v>437</v>
      </c>
      <c r="E76" t="s">
        <v>1</v>
      </c>
      <c r="F76" t="s">
        <v>437</v>
      </c>
      <c r="G76">
        <v>120</v>
      </c>
      <c r="H76" t="s">
        <v>2</v>
      </c>
      <c r="I76" s="13">
        <v>1117994.1650459999</v>
      </c>
      <c r="J76">
        <v>0</v>
      </c>
      <c r="K76">
        <v>1</v>
      </c>
      <c r="L76">
        <v>0</v>
      </c>
      <c r="M76">
        <v>104</v>
      </c>
      <c r="N76" s="16">
        <v>1117994.1650459999</v>
      </c>
      <c r="O76" s="16">
        <v>1117994.1650459999</v>
      </c>
    </row>
    <row r="77" spans="1:15" ht="18.600000000000001">
      <c r="A77" t="s">
        <v>417</v>
      </c>
      <c r="B77" s="11" t="s">
        <v>323</v>
      </c>
      <c r="C77" t="s">
        <v>436</v>
      </c>
      <c r="D77" t="s">
        <v>437</v>
      </c>
      <c r="E77" t="s">
        <v>1</v>
      </c>
      <c r="F77" t="s">
        <v>437</v>
      </c>
      <c r="G77">
        <v>120</v>
      </c>
      <c r="H77" t="s">
        <v>2</v>
      </c>
      <c r="I77" s="13">
        <v>1117994.1650459999</v>
      </c>
      <c r="J77">
        <v>0</v>
      </c>
      <c r="K77">
        <v>1</v>
      </c>
      <c r="L77">
        <v>0</v>
      </c>
      <c r="M77">
        <v>104</v>
      </c>
      <c r="N77" s="16">
        <v>1117994.1650459999</v>
      </c>
      <c r="O77" s="16">
        <v>1117994.1650459999</v>
      </c>
    </row>
    <row r="78" spans="1:15" ht="18.600000000000001">
      <c r="A78" t="s">
        <v>418</v>
      </c>
      <c r="B78" s="11" t="s">
        <v>324</v>
      </c>
      <c r="C78" t="s">
        <v>436</v>
      </c>
      <c r="D78" t="s">
        <v>437</v>
      </c>
      <c r="E78" t="s">
        <v>1</v>
      </c>
      <c r="F78" t="s">
        <v>437</v>
      </c>
      <c r="G78">
        <v>120</v>
      </c>
      <c r="H78" t="s">
        <v>2</v>
      </c>
      <c r="I78" s="13">
        <v>46818010.503158398</v>
      </c>
      <c r="J78">
        <v>0</v>
      </c>
      <c r="K78">
        <v>1</v>
      </c>
      <c r="L78">
        <v>0</v>
      </c>
      <c r="M78">
        <v>104</v>
      </c>
      <c r="N78" s="16">
        <v>46818010.503158398</v>
      </c>
      <c r="O78" s="16">
        <v>46818010.503158398</v>
      </c>
    </row>
    <row r="79" spans="1:15" ht="18.600000000000001">
      <c r="A79" t="s">
        <v>419</v>
      </c>
      <c r="B79" s="11" t="s">
        <v>325</v>
      </c>
      <c r="C79" t="s">
        <v>436</v>
      </c>
      <c r="D79" t="s">
        <v>437</v>
      </c>
      <c r="E79" t="s">
        <v>1</v>
      </c>
      <c r="F79" t="s">
        <v>437</v>
      </c>
      <c r="G79">
        <v>120</v>
      </c>
      <c r="H79" t="s">
        <v>2</v>
      </c>
      <c r="I79" s="13">
        <v>11032007.907777119</v>
      </c>
      <c r="J79">
        <v>0</v>
      </c>
      <c r="K79">
        <v>1</v>
      </c>
      <c r="L79">
        <v>0</v>
      </c>
      <c r="M79">
        <v>104</v>
      </c>
      <c r="N79" s="16">
        <v>11032007.907777119</v>
      </c>
      <c r="O79" s="16">
        <v>11032007.907777119</v>
      </c>
    </row>
    <row r="80" spans="1:15" ht="18.600000000000001">
      <c r="A80" t="s">
        <v>420</v>
      </c>
      <c r="B80" s="11" t="s">
        <v>326</v>
      </c>
      <c r="C80" t="s">
        <v>436</v>
      </c>
      <c r="D80" t="s">
        <v>437</v>
      </c>
      <c r="E80" t="s">
        <v>1</v>
      </c>
      <c r="F80" t="s">
        <v>437</v>
      </c>
      <c r="G80">
        <v>120</v>
      </c>
      <c r="H80" t="s">
        <v>2</v>
      </c>
      <c r="I80" s="13">
        <v>6702115.5693280809</v>
      </c>
      <c r="J80">
        <v>0</v>
      </c>
      <c r="K80">
        <v>1</v>
      </c>
      <c r="L80">
        <v>0</v>
      </c>
      <c r="M80">
        <v>104</v>
      </c>
      <c r="N80" s="16">
        <v>6702115.5693280809</v>
      </c>
      <c r="O80" s="16">
        <v>6702115.5693280809</v>
      </c>
    </row>
    <row r="81" spans="1:15" ht="18.600000000000001">
      <c r="A81" t="s">
        <v>421</v>
      </c>
      <c r="B81" s="11" t="s">
        <v>327</v>
      </c>
      <c r="C81" t="s">
        <v>436</v>
      </c>
      <c r="D81" t="s">
        <v>437</v>
      </c>
      <c r="E81" t="s">
        <v>1</v>
      </c>
      <c r="F81" t="s">
        <v>437</v>
      </c>
      <c r="G81">
        <v>120</v>
      </c>
      <c r="H81" t="s">
        <v>2</v>
      </c>
      <c r="I81" s="13">
        <v>6985906.8308013603</v>
      </c>
      <c r="J81">
        <v>0</v>
      </c>
      <c r="K81">
        <v>1</v>
      </c>
      <c r="L81">
        <v>0</v>
      </c>
      <c r="M81">
        <v>104</v>
      </c>
      <c r="N81" s="16">
        <v>6985906.8308013603</v>
      </c>
      <c r="O81" s="16">
        <v>6985906.8308013603</v>
      </c>
    </row>
    <row r="82" spans="1:15" ht="18.600000000000001">
      <c r="A82" t="s">
        <v>422</v>
      </c>
      <c r="B82" s="11" t="s">
        <v>328</v>
      </c>
      <c r="C82" t="s">
        <v>436</v>
      </c>
      <c r="D82" t="s">
        <v>437</v>
      </c>
      <c r="E82" t="s">
        <v>1</v>
      </c>
      <c r="F82" t="s">
        <v>437</v>
      </c>
      <c r="G82">
        <v>120</v>
      </c>
      <c r="H82" t="s">
        <v>2</v>
      </c>
      <c r="I82" s="13">
        <v>26218048.143569041</v>
      </c>
      <c r="J82">
        <v>0</v>
      </c>
      <c r="K82">
        <v>1</v>
      </c>
      <c r="L82">
        <v>0</v>
      </c>
      <c r="M82">
        <v>104</v>
      </c>
      <c r="N82" s="16">
        <v>26218048.143569041</v>
      </c>
      <c r="O82" s="16">
        <v>26218048.143569041</v>
      </c>
    </row>
    <row r="83" spans="1:15" ht="18.600000000000001">
      <c r="A83" t="s">
        <v>423</v>
      </c>
      <c r="B83" s="11" t="s">
        <v>329</v>
      </c>
      <c r="C83" t="s">
        <v>436</v>
      </c>
      <c r="D83" t="s">
        <v>437</v>
      </c>
      <c r="E83" t="s">
        <v>1</v>
      </c>
      <c r="F83" t="s">
        <v>437</v>
      </c>
      <c r="G83">
        <v>120</v>
      </c>
      <c r="H83" t="s">
        <v>2</v>
      </c>
      <c r="I83" s="13">
        <v>15322275.13657896</v>
      </c>
      <c r="J83">
        <v>0</v>
      </c>
      <c r="K83">
        <v>1</v>
      </c>
      <c r="L83">
        <v>0</v>
      </c>
      <c r="M83">
        <v>104</v>
      </c>
      <c r="N83" s="16">
        <v>15322275.13657896</v>
      </c>
      <c r="O83" s="16">
        <v>15322275.13657896</v>
      </c>
    </row>
    <row r="84" spans="1:15" ht="18.600000000000001">
      <c r="A84" t="s">
        <v>424</v>
      </c>
      <c r="B84" s="11" t="s">
        <v>330</v>
      </c>
      <c r="C84" t="s">
        <v>436</v>
      </c>
      <c r="D84" t="s">
        <v>438</v>
      </c>
      <c r="E84" t="s">
        <v>1</v>
      </c>
      <c r="F84" t="s">
        <v>438</v>
      </c>
      <c r="G84">
        <v>120</v>
      </c>
      <c r="H84" t="s">
        <v>2</v>
      </c>
      <c r="I84" s="13">
        <v>6172128</v>
      </c>
      <c r="J84">
        <v>0</v>
      </c>
      <c r="K84">
        <v>1</v>
      </c>
      <c r="L84">
        <v>0</v>
      </c>
      <c r="M84">
        <v>104</v>
      </c>
      <c r="N84" s="16">
        <v>6172128</v>
      </c>
      <c r="O84" s="16">
        <v>6172128</v>
      </c>
    </row>
    <row r="85" spans="1:15" ht="18.600000000000001">
      <c r="A85" t="s">
        <v>425</v>
      </c>
      <c r="B85" s="11" t="s">
        <v>331</v>
      </c>
      <c r="C85" t="s">
        <v>436</v>
      </c>
      <c r="D85" t="s">
        <v>438</v>
      </c>
      <c r="E85" t="s">
        <v>1</v>
      </c>
      <c r="F85" t="s">
        <v>438</v>
      </c>
      <c r="G85">
        <v>120</v>
      </c>
      <c r="H85" t="s">
        <v>2</v>
      </c>
      <c r="I85" s="13">
        <v>8069880</v>
      </c>
      <c r="J85">
        <v>0</v>
      </c>
      <c r="K85">
        <v>1</v>
      </c>
      <c r="L85">
        <v>0</v>
      </c>
      <c r="M85">
        <v>104</v>
      </c>
      <c r="N85" s="16">
        <v>8069880</v>
      </c>
      <c r="O85" s="16">
        <v>8069880</v>
      </c>
    </row>
    <row r="86" spans="1:15" ht="18.600000000000001">
      <c r="A86" t="s">
        <v>426</v>
      </c>
      <c r="B86" s="11" t="s">
        <v>330</v>
      </c>
      <c r="C86" t="s">
        <v>436</v>
      </c>
      <c r="D86" t="s">
        <v>439</v>
      </c>
      <c r="E86" t="s">
        <v>1</v>
      </c>
      <c r="F86" t="s">
        <v>439</v>
      </c>
      <c r="G86">
        <v>120</v>
      </c>
      <c r="H86" t="s">
        <v>2</v>
      </c>
      <c r="I86" s="13">
        <v>435290.61946902599</v>
      </c>
      <c r="J86">
        <v>0</v>
      </c>
      <c r="K86">
        <v>1</v>
      </c>
      <c r="L86">
        <v>0</v>
      </c>
      <c r="M86">
        <v>104</v>
      </c>
      <c r="N86" s="16">
        <v>435290.61946902599</v>
      </c>
      <c r="O86" s="16">
        <v>435290.61946902599</v>
      </c>
    </row>
    <row r="87" spans="1:15" ht="18.600000000000001">
      <c r="A87" t="s">
        <v>427</v>
      </c>
      <c r="B87" s="11" t="s">
        <v>332</v>
      </c>
      <c r="C87" t="s">
        <v>436</v>
      </c>
      <c r="D87" t="s">
        <v>438</v>
      </c>
      <c r="E87" t="s">
        <v>1</v>
      </c>
      <c r="F87" t="s">
        <v>438</v>
      </c>
      <c r="G87">
        <v>120</v>
      </c>
      <c r="H87" t="s">
        <v>2</v>
      </c>
      <c r="I87" s="13">
        <v>3192480</v>
      </c>
      <c r="J87">
        <v>0</v>
      </c>
      <c r="K87">
        <v>1</v>
      </c>
      <c r="L87">
        <v>0</v>
      </c>
      <c r="M87">
        <v>104</v>
      </c>
      <c r="N87" s="16">
        <v>3192480</v>
      </c>
      <c r="O87" s="16">
        <v>3192480</v>
      </c>
    </row>
    <row r="88" spans="1:15" ht="18.600000000000001">
      <c r="A88" t="s">
        <v>428</v>
      </c>
      <c r="B88" s="11" t="s">
        <v>333</v>
      </c>
      <c r="C88" t="s">
        <v>436</v>
      </c>
      <c r="D88" t="s">
        <v>438</v>
      </c>
      <c r="E88" t="s">
        <v>1</v>
      </c>
      <c r="F88" t="s">
        <v>438</v>
      </c>
      <c r="G88">
        <v>120</v>
      </c>
      <c r="H88" t="s">
        <v>2</v>
      </c>
      <c r="I88" s="13">
        <v>1241520</v>
      </c>
      <c r="J88">
        <v>0</v>
      </c>
      <c r="K88">
        <v>1</v>
      </c>
      <c r="L88">
        <v>0</v>
      </c>
      <c r="M88">
        <v>104</v>
      </c>
      <c r="N88" s="16">
        <v>1241520</v>
      </c>
      <c r="O88" s="16">
        <v>1241520</v>
      </c>
    </row>
    <row r="89" spans="1:15" ht="18.600000000000001">
      <c r="A89" t="s">
        <v>429</v>
      </c>
      <c r="B89" s="11" t="s">
        <v>334</v>
      </c>
      <c r="C89" t="s">
        <v>436</v>
      </c>
      <c r="D89" t="s">
        <v>438</v>
      </c>
      <c r="E89" t="s">
        <v>1</v>
      </c>
      <c r="F89" t="s">
        <v>438</v>
      </c>
      <c r="G89">
        <v>120</v>
      </c>
      <c r="H89" t="s">
        <v>2</v>
      </c>
      <c r="I89" s="13">
        <v>2057376</v>
      </c>
      <c r="J89">
        <v>0</v>
      </c>
      <c r="K89">
        <v>1</v>
      </c>
      <c r="L89">
        <v>0</v>
      </c>
      <c r="M89">
        <v>104</v>
      </c>
      <c r="N89" s="16">
        <v>2057376</v>
      </c>
      <c r="O89" s="16">
        <v>2057376</v>
      </c>
    </row>
    <row r="90" spans="1:15" ht="18.600000000000001">
      <c r="A90" t="s">
        <v>430</v>
      </c>
      <c r="B90" s="11" t="s">
        <v>335</v>
      </c>
      <c r="C90" t="s">
        <v>436</v>
      </c>
      <c r="D90" t="s">
        <v>440</v>
      </c>
      <c r="E90" t="s">
        <v>1</v>
      </c>
      <c r="F90" t="s">
        <v>440</v>
      </c>
      <c r="G90">
        <v>120</v>
      </c>
      <c r="H90" t="s">
        <v>2</v>
      </c>
      <c r="I90" s="13">
        <v>1976677.2</v>
      </c>
      <c r="J90">
        <v>0</v>
      </c>
      <c r="K90">
        <v>1</v>
      </c>
      <c r="L90">
        <v>0</v>
      </c>
      <c r="M90">
        <v>104</v>
      </c>
      <c r="N90" s="16">
        <v>1976677.2</v>
      </c>
      <c r="O90" s="16">
        <v>1976677.2</v>
      </c>
    </row>
    <row r="91" spans="1:15" ht="18.600000000000001">
      <c r="A91" t="s">
        <v>431</v>
      </c>
      <c r="B91" s="11" t="s">
        <v>336</v>
      </c>
      <c r="C91" t="s">
        <v>436</v>
      </c>
      <c r="D91" t="s">
        <v>441</v>
      </c>
      <c r="E91" t="s">
        <v>1</v>
      </c>
      <c r="F91" t="s">
        <v>441</v>
      </c>
      <c r="G91">
        <v>120</v>
      </c>
      <c r="H91" t="s">
        <v>2</v>
      </c>
      <c r="I91" s="13">
        <v>1711701.36</v>
      </c>
      <c r="J91">
        <v>0</v>
      </c>
      <c r="K91">
        <v>1</v>
      </c>
      <c r="L91">
        <v>0</v>
      </c>
      <c r="M91">
        <v>104</v>
      </c>
      <c r="N91" s="16">
        <v>1711701.36</v>
      </c>
      <c r="O91" s="16">
        <v>1711701.36</v>
      </c>
    </row>
    <row r="92" spans="1:15" ht="18.600000000000001">
      <c r="A92" t="s">
        <v>432</v>
      </c>
      <c r="B92" s="11" t="s">
        <v>337</v>
      </c>
      <c r="C92" t="s">
        <v>436</v>
      </c>
      <c r="D92" t="s">
        <v>442</v>
      </c>
      <c r="E92" t="s">
        <v>1</v>
      </c>
      <c r="F92" t="s">
        <v>442</v>
      </c>
      <c r="G92">
        <v>120</v>
      </c>
      <c r="H92" t="s">
        <v>2</v>
      </c>
      <c r="I92" s="13">
        <v>10146410.880000001</v>
      </c>
      <c r="J92">
        <v>0</v>
      </c>
      <c r="K92">
        <v>1</v>
      </c>
      <c r="L92">
        <v>0</v>
      </c>
      <c r="M92">
        <v>104</v>
      </c>
      <c r="N92" s="16">
        <v>10146410.880000001</v>
      </c>
      <c r="O92" s="16">
        <v>10146410.880000001</v>
      </c>
    </row>
    <row r="93" spans="1:15" ht="18.600000000000001">
      <c r="A93" t="s">
        <v>433</v>
      </c>
      <c r="B93" s="11" t="s">
        <v>338</v>
      </c>
      <c r="C93" t="s">
        <v>436</v>
      </c>
      <c r="D93" t="s">
        <v>443</v>
      </c>
      <c r="E93" t="s">
        <v>1</v>
      </c>
      <c r="F93" t="s">
        <v>443</v>
      </c>
      <c r="G93">
        <v>120</v>
      </c>
      <c r="H93" t="s">
        <v>2</v>
      </c>
      <c r="I93" s="13">
        <v>7001818.0799999991</v>
      </c>
      <c r="J93">
        <v>0</v>
      </c>
      <c r="K93">
        <v>1</v>
      </c>
      <c r="L93">
        <v>0</v>
      </c>
      <c r="M93">
        <v>104</v>
      </c>
      <c r="N93" s="16">
        <v>7001818.0799999991</v>
      </c>
      <c r="O93" s="16">
        <v>7001818.0799999991</v>
      </c>
    </row>
    <row r="94" spans="1:15" ht="18.600000000000001">
      <c r="A94" t="s">
        <v>434</v>
      </c>
      <c r="B94" s="11" t="s">
        <v>339</v>
      </c>
      <c r="C94" t="s">
        <v>436</v>
      </c>
      <c r="D94" t="s">
        <v>444</v>
      </c>
      <c r="E94" t="s">
        <v>1</v>
      </c>
      <c r="F94" t="s">
        <v>444</v>
      </c>
      <c r="G94">
        <v>120</v>
      </c>
      <c r="H94" t="s">
        <v>2</v>
      </c>
      <c r="I94" s="13">
        <v>11422411.280000001</v>
      </c>
      <c r="J94">
        <v>0</v>
      </c>
      <c r="K94">
        <v>1</v>
      </c>
      <c r="L94">
        <v>0</v>
      </c>
      <c r="M94">
        <v>104</v>
      </c>
      <c r="N94" s="16">
        <v>11422411.280000001</v>
      </c>
      <c r="O94" s="16">
        <v>11422411.280000001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9B1A-58A6-439B-A017-6A581C629563}">
  <dimension ref="A1:P155"/>
  <sheetViews>
    <sheetView topLeftCell="A78" zoomScale="70" zoomScaleNormal="70" workbookViewId="0">
      <selection activeCell="B104" sqref="B104"/>
    </sheetView>
  </sheetViews>
  <sheetFormatPr defaultRowHeight="13.8"/>
  <cols>
    <col min="2" max="2" width="135.09765625" customWidth="1"/>
    <col min="3" max="3" width="11.59765625" bestFit="1" customWidth="1"/>
    <col min="4" max="4" width="8.8984375" bestFit="1" customWidth="1"/>
    <col min="5" max="5" width="6.69921875" bestFit="1" customWidth="1"/>
    <col min="6" max="6" width="8.8984375" bestFit="1" customWidth="1"/>
    <col min="7" max="7" width="2.8984375" bestFit="1" customWidth="1"/>
    <col min="8" max="8" width="7" bestFit="1" customWidth="1"/>
    <col min="9" max="9" width="10.8984375" bestFit="1" customWidth="1"/>
    <col min="10" max="11" width="1.8984375" bestFit="1" customWidth="1"/>
    <col min="12" max="12" width="2.8984375" bestFit="1" customWidth="1"/>
    <col min="13" max="13" width="3.8984375" bestFit="1" customWidth="1"/>
    <col min="14" max="14" width="11.8984375" bestFit="1" customWidth="1"/>
    <col min="15" max="15" width="10.8984375" bestFit="1" customWidth="1"/>
    <col min="16" max="16" width="16.69921875" bestFit="1" customWidth="1"/>
  </cols>
  <sheetData>
    <row r="1" spans="1:16">
      <c r="A1" t="s">
        <v>147</v>
      </c>
      <c r="B1" t="s">
        <v>0</v>
      </c>
      <c r="C1" t="s">
        <v>1019</v>
      </c>
      <c r="D1">
        <v>20210713</v>
      </c>
      <c r="E1" t="s">
        <v>1</v>
      </c>
      <c r="F1">
        <v>20210713</v>
      </c>
      <c r="G1">
        <v>60</v>
      </c>
      <c r="H1" t="s">
        <v>2</v>
      </c>
      <c r="I1">
        <v>252000</v>
      </c>
      <c r="J1">
        <v>0</v>
      </c>
      <c r="K1">
        <v>1</v>
      </c>
      <c r="L1">
        <v>6</v>
      </c>
      <c r="M1">
        <v>104</v>
      </c>
      <c r="N1">
        <v>225350.14</v>
      </c>
      <c r="O1">
        <v>252000</v>
      </c>
    </row>
    <row r="2" spans="1:16">
      <c r="A2" t="s">
        <v>148</v>
      </c>
      <c r="B2" t="s">
        <v>3</v>
      </c>
      <c r="C2" t="s">
        <v>1019</v>
      </c>
      <c r="D2">
        <v>20210128</v>
      </c>
      <c r="E2" t="s">
        <v>1</v>
      </c>
      <c r="F2">
        <v>20210128</v>
      </c>
      <c r="G2">
        <v>60</v>
      </c>
      <c r="H2" t="s">
        <v>2</v>
      </c>
      <c r="I2">
        <v>700000</v>
      </c>
      <c r="J2">
        <v>0</v>
      </c>
      <c r="K2">
        <v>1</v>
      </c>
      <c r="L2">
        <v>0</v>
      </c>
      <c r="M2">
        <v>104</v>
      </c>
      <c r="N2">
        <v>700000</v>
      </c>
      <c r="O2">
        <v>700000</v>
      </c>
    </row>
    <row r="3" spans="1:16">
      <c r="A3" t="s">
        <v>149</v>
      </c>
      <c r="B3" t="s">
        <v>4</v>
      </c>
      <c r="C3" t="s">
        <v>1019</v>
      </c>
      <c r="D3">
        <v>20210128</v>
      </c>
      <c r="E3" t="s">
        <v>1</v>
      </c>
      <c r="F3">
        <v>20210128</v>
      </c>
      <c r="G3">
        <v>60</v>
      </c>
      <c r="H3" t="s">
        <v>2</v>
      </c>
      <c r="I3">
        <v>1500000</v>
      </c>
      <c r="J3">
        <v>0</v>
      </c>
      <c r="K3">
        <v>1</v>
      </c>
      <c r="L3">
        <v>0</v>
      </c>
      <c r="M3">
        <v>104</v>
      </c>
      <c r="N3">
        <v>1500000</v>
      </c>
      <c r="O3">
        <v>1500000</v>
      </c>
    </row>
    <row r="4" spans="1:16">
      <c r="A4" t="s">
        <v>150</v>
      </c>
      <c r="B4" t="s">
        <v>5</v>
      </c>
      <c r="C4" t="s">
        <v>1019</v>
      </c>
      <c r="D4">
        <v>20210914</v>
      </c>
      <c r="E4" t="s">
        <v>1</v>
      </c>
      <c r="F4">
        <v>20210914</v>
      </c>
      <c r="G4">
        <v>60</v>
      </c>
      <c r="H4" t="s">
        <v>2</v>
      </c>
      <c r="I4">
        <v>1381520</v>
      </c>
      <c r="J4">
        <v>0</v>
      </c>
      <c r="K4">
        <v>1</v>
      </c>
      <c r="L4">
        <v>8</v>
      </c>
      <c r="M4">
        <v>104</v>
      </c>
      <c r="N4">
        <v>1187728.7</v>
      </c>
      <c r="O4">
        <v>1381520</v>
      </c>
    </row>
    <row r="5" spans="1:16">
      <c r="A5" t="s">
        <v>151</v>
      </c>
      <c r="B5" t="s">
        <v>6</v>
      </c>
      <c r="C5" t="s">
        <v>1019</v>
      </c>
      <c r="D5">
        <v>20240229</v>
      </c>
      <c r="E5" t="s">
        <v>1</v>
      </c>
      <c r="F5">
        <v>20240229</v>
      </c>
      <c r="G5">
        <v>60</v>
      </c>
      <c r="H5" t="s">
        <v>2</v>
      </c>
      <c r="I5">
        <v>1418820</v>
      </c>
      <c r="J5">
        <v>0</v>
      </c>
      <c r="K5">
        <v>1</v>
      </c>
      <c r="L5">
        <v>37</v>
      </c>
      <c r="M5">
        <v>104</v>
      </c>
      <c r="N5">
        <v>521659.3</v>
      </c>
      <c r="O5">
        <v>1418820</v>
      </c>
      <c r="P5" t="s">
        <v>7</v>
      </c>
    </row>
    <row r="6" spans="1:16">
      <c r="A6" t="s">
        <v>152</v>
      </c>
      <c r="B6" t="s">
        <v>6</v>
      </c>
      <c r="C6" t="s">
        <v>1019</v>
      </c>
      <c r="D6">
        <v>20240229</v>
      </c>
      <c r="E6" t="s">
        <v>1</v>
      </c>
      <c r="F6">
        <v>20240229</v>
      </c>
      <c r="G6">
        <v>60</v>
      </c>
      <c r="H6" t="s">
        <v>2</v>
      </c>
      <c r="I6">
        <v>1418820</v>
      </c>
      <c r="J6">
        <v>0</v>
      </c>
      <c r="K6">
        <v>1</v>
      </c>
      <c r="L6">
        <v>37</v>
      </c>
      <c r="M6">
        <v>104</v>
      </c>
      <c r="N6">
        <v>521659.3</v>
      </c>
      <c r="O6">
        <v>1418820</v>
      </c>
      <c r="P6" t="s">
        <v>8</v>
      </c>
    </row>
    <row r="7" spans="1:16">
      <c r="A7" t="s">
        <v>153</v>
      </c>
      <c r="B7" t="s">
        <v>6</v>
      </c>
      <c r="C7" t="s">
        <v>1019</v>
      </c>
      <c r="D7">
        <v>20240730</v>
      </c>
      <c r="E7" t="s">
        <v>1</v>
      </c>
      <c r="F7">
        <v>20240730</v>
      </c>
      <c r="G7">
        <v>60</v>
      </c>
      <c r="H7" t="s">
        <v>2</v>
      </c>
      <c r="I7">
        <v>1501500</v>
      </c>
      <c r="J7">
        <v>0</v>
      </c>
      <c r="K7">
        <v>1</v>
      </c>
      <c r="L7">
        <v>42</v>
      </c>
      <c r="M7">
        <v>104</v>
      </c>
      <c r="N7">
        <v>427001.92</v>
      </c>
      <c r="O7">
        <v>1501500</v>
      </c>
      <c r="P7" t="s">
        <v>9</v>
      </c>
    </row>
    <row r="8" spans="1:16">
      <c r="A8" t="s">
        <v>154</v>
      </c>
      <c r="B8" t="s">
        <v>10</v>
      </c>
      <c r="C8" t="s">
        <v>1019</v>
      </c>
      <c r="D8">
        <v>20230315</v>
      </c>
      <c r="E8" t="s">
        <v>1</v>
      </c>
      <c r="F8">
        <v>20230315</v>
      </c>
      <c r="G8">
        <v>60</v>
      </c>
      <c r="H8" t="s">
        <v>2</v>
      </c>
      <c r="I8">
        <v>919117</v>
      </c>
      <c r="J8">
        <v>0</v>
      </c>
      <c r="K8">
        <v>1</v>
      </c>
      <c r="L8">
        <v>26</v>
      </c>
      <c r="M8">
        <v>104</v>
      </c>
      <c r="N8">
        <v>514705.52</v>
      </c>
      <c r="O8">
        <v>919117</v>
      </c>
    </row>
    <row r="9" spans="1:16">
      <c r="A9" t="s">
        <v>155</v>
      </c>
      <c r="B9" t="s">
        <v>11</v>
      </c>
      <c r="C9" t="s">
        <v>1019</v>
      </c>
      <c r="D9">
        <v>20231018</v>
      </c>
      <c r="E9" t="s">
        <v>1</v>
      </c>
      <c r="F9">
        <v>20231018</v>
      </c>
      <c r="G9">
        <v>60</v>
      </c>
      <c r="H9" t="s">
        <v>2</v>
      </c>
      <c r="I9">
        <v>25844720</v>
      </c>
      <c r="J9">
        <v>0</v>
      </c>
      <c r="K9">
        <v>1</v>
      </c>
      <c r="L9">
        <v>33</v>
      </c>
      <c r="M9">
        <v>104</v>
      </c>
      <c r="N9">
        <v>11399999.779999999</v>
      </c>
      <c r="O9">
        <v>25844720</v>
      </c>
    </row>
    <row r="10" spans="1:16">
      <c r="A10" t="s">
        <v>156</v>
      </c>
      <c r="B10" t="s">
        <v>12</v>
      </c>
      <c r="C10" t="s">
        <v>1019</v>
      </c>
      <c r="D10">
        <v>20210128</v>
      </c>
      <c r="E10" t="s">
        <v>1</v>
      </c>
      <c r="F10">
        <v>20210128</v>
      </c>
      <c r="G10">
        <v>60</v>
      </c>
      <c r="H10" t="s">
        <v>2</v>
      </c>
      <c r="I10">
        <v>650000</v>
      </c>
      <c r="J10">
        <v>0</v>
      </c>
      <c r="K10">
        <v>1</v>
      </c>
      <c r="L10">
        <v>0</v>
      </c>
      <c r="M10">
        <v>104</v>
      </c>
      <c r="N10">
        <v>650000</v>
      </c>
      <c r="O10">
        <v>650000</v>
      </c>
    </row>
    <row r="11" spans="1:16">
      <c r="A11" t="s">
        <v>157</v>
      </c>
      <c r="B11" t="s">
        <v>13</v>
      </c>
      <c r="C11" t="s">
        <v>1019</v>
      </c>
      <c r="D11">
        <v>20241104</v>
      </c>
      <c r="E11" t="s">
        <v>1</v>
      </c>
      <c r="F11">
        <v>20241104</v>
      </c>
      <c r="G11">
        <v>60</v>
      </c>
      <c r="H11" t="s">
        <v>2</v>
      </c>
      <c r="I11">
        <v>2431000</v>
      </c>
      <c r="J11">
        <v>0</v>
      </c>
      <c r="K11">
        <v>1</v>
      </c>
      <c r="L11">
        <v>46</v>
      </c>
      <c r="M11">
        <v>104</v>
      </c>
      <c r="N11">
        <v>562127.12</v>
      </c>
      <c r="O11">
        <v>2431000</v>
      </c>
      <c r="P11" t="s">
        <v>14</v>
      </c>
    </row>
    <row r="12" spans="1:16">
      <c r="A12" t="s">
        <v>158</v>
      </c>
      <c r="B12" t="s">
        <v>13</v>
      </c>
      <c r="C12" t="s">
        <v>1019</v>
      </c>
      <c r="D12">
        <v>20241104</v>
      </c>
      <c r="E12" t="s">
        <v>1</v>
      </c>
      <c r="F12">
        <v>20241104</v>
      </c>
      <c r="G12">
        <v>60</v>
      </c>
      <c r="H12" t="s">
        <v>2</v>
      </c>
      <c r="I12">
        <v>2431000</v>
      </c>
      <c r="J12">
        <v>0</v>
      </c>
      <c r="K12">
        <v>1</v>
      </c>
      <c r="L12">
        <v>46</v>
      </c>
      <c r="M12">
        <v>104</v>
      </c>
      <c r="N12">
        <v>562127.12</v>
      </c>
      <c r="O12">
        <v>2431000</v>
      </c>
      <c r="P12" t="s">
        <v>15</v>
      </c>
    </row>
    <row r="13" spans="1:16">
      <c r="A13" t="s">
        <v>159</v>
      </c>
      <c r="B13" t="s">
        <v>13</v>
      </c>
      <c r="C13" t="s">
        <v>1019</v>
      </c>
      <c r="D13">
        <v>20241104</v>
      </c>
      <c r="E13" t="s">
        <v>1</v>
      </c>
      <c r="F13">
        <v>20241104</v>
      </c>
      <c r="G13">
        <v>60</v>
      </c>
      <c r="H13" t="s">
        <v>2</v>
      </c>
      <c r="I13">
        <v>2431000</v>
      </c>
      <c r="J13">
        <v>0</v>
      </c>
      <c r="K13">
        <v>1</v>
      </c>
      <c r="L13">
        <v>46</v>
      </c>
      <c r="M13">
        <v>104</v>
      </c>
      <c r="N13">
        <v>562127.12</v>
      </c>
      <c r="O13">
        <v>2431000</v>
      </c>
      <c r="P13" t="s">
        <v>16</v>
      </c>
    </row>
    <row r="14" spans="1:16">
      <c r="A14" t="s">
        <v>160</v>
      </c>
      <c r="B14" t="s">
        <v>13</v>
      </c>
      <c r="C14" t="s">
        <v>1019</v>
      </c>
      <c r="D14">
        <v>20241104</v>
      </c>
      <c r="E14" t="s">
        <v>1</v>
      </c>
      <c r="F14">
        <v>20241104</v>
      </c>
      <c r="G14">
        <v>60</v>
      </c>
      <c r="H14" t="s">
        <v>2</v>
      </c>
      <c r="I14">
        <v>2431000</v>
      </c>
      <c r="J14">
        <v>0</v>
      </c>
      <c r="K14">
        <v>1</v>
      </c>
      <c r="L14">
        <v>46</v>
      </c>
      <c r="M14">
        <v>104</v>
      </c>
      <c r="N14">
        <v>562127.12</v>
      </c>
      <c r="O14">
        <v>2431000</v>
      </c>
      <c r="P14" t="s">
        <v>17</v>
      </c>
    </row>
    <row r="15" spans="1:16">
      <c r="A15" t="s">
        <v>161</v>
      </c>
      <c r="B15" t="s">
        <v>18</v>
      </c>
      <c r="C15" t="s">
        <v>1019</v>
      </c>
      <c r="D15">
        <v>20241014</v>
      </c>
      <c r="E15" t="s">
        <v>1</v>
      </c>
      <c r="F15">
        <v>20241014</v>
      </c>
      <c r="G15">
        <v>60</v>
      </c>
      <c r="H15" t="s">
        <v>2</v>
      </c>
      <c r="I15">
        <v>670615</v>
      </c>
      <c r="J15">
        <v>0</v>
      </c>
      <c r="K15">
        <v>1</v>
      </c>
      <c r="L15">
        <v>45</v>
      </c>
      <c r="M15">
        <v>104</v>
      </c>
      <c r="N15">
        <v>162784.9</v>
      </c>
      <c r="O15">
        <v>670615</v>
      </c>
      <c r="P15" t="s">
        <v>19</v>
      </c>
    </row>
    <row r="16" spans="1:16">
      <c r="A16" t="s">
        <v>162</v>
      </c>
      <c r="B16" t="s">
        <v>18</v>
      </c>
      <c r="C16" t="s">
        <v>1019</v>
      </c>
      <c r="D16">
        <v>20241014</v>
      </c>
      <c r="E16" t="s">
        <v>1</v>
      </c>
      <c r="F16">
        <v>20241014</v>
      </c>
      <c r="G16">
        <v>60</v>
      </c>
      <c r="H16" t="s">
        <v>2</v>
      </c>
      <c r="I16">
        <v>670615</v>
      </c>
      <c r="J16">
        <v>0</v>
      </c>
      <c r="K16">
        <v>1</v>
      </c>
      <c r="L16">
        <v>45</v>
      </c>
      <c r="M16">
        <v>104</v>
      </c>
      <c r="N16">
        <v>162784.9</v>
      </c>
      <c r="O16">
        <v>670615</v>
      </c>
      <c r="P16" t="s">
        <v>20</v>
      </c>
    </row>
    <row r="17" spans="1:16">
      <c r="A17" t="s">
        <v>163</v>
      </c>
      <c r="B17" t="s">
        <v>18</v>
      </c>
      <c r="C17" t="s">
        <v>1019</v>
      </c>
      <c r="D17">
        <v>20241014</v>
      </c>
      <c r="E17" t="s">
        <v>1</v>
      </c>
      <c r="F17">
        <v>20241014</v>
      </c>
      <c r="G17">
        <v>60</v>
      </c>
      <c r="H17" t="s">
        <v>2</v>
      </c>
      <c r="I17">
        <v>670615</v>
      </c>
      <c r="J17">
        <v>0</v>
      </c>
      <c r="K17">
        <v>1</v>
      </c>
      <c r="L17">
        <v>45</v>
      </c>
      <c r="M17">
        <v>104</v>
      </c>
      <c r="N17">
        <v>162784.9</v>
      </c>
      <c r="O17">
        <v>670615</v>
      </c>
      <c r="P17" t="s">
        <v>21</v>
      </c>
    </row>
    <row r="18" spans="1:16">
      <c r="A18" t="s">
        <v>164</v>
      </c>
      <c r="B18" t="s">
        <v>18</v>
      </c>
      <c r="C18" t="s">
        <v>1019</v>
      </c>
      <c r="D18">
        <v>20241014</v>
      </c>
      <c r="E18" t="s">
        <v>1</v>
      </c>
      <c r="F18">
        <v>20241014</v>
      </c>
      <c r="G18">
        <v>60</v>
      </c>
      <c r="H18" t="s">
        <v>2</v>
      </c>
      <c r="I18">
        <v>670615</v>
      </c>
      <c r="J18">
        <v>0</v>
      </c>
      <c r="K18">
        <v>1</v>
      </c>
      <c r="L18">
        <v>45</v>
      </c>
      <c r="M18">
        <v>104</v>
      </c>
      <c r="N18">
        <v>162784.9</v>
      </c>
      <c r="O18">
        <v>670615</v>
      </c>
      <c r="P18" t="s">
        <v>22</v>
      </c>
    </row>
    <row r="19" spans="1:16">
      <c r="A19" t="s">
        <v>165</v>
      </c>
      <c r="B19" t="s">
        <v>18</v>
      </c>
      <c r="C19" t="s">
        <v>1019</v>
      </c>
      <c r="D19">
        <v>20241014</v>
      </c>
      <c r="E19" t="s">
        <v>1</v>
      </c>
      <c r="F19">
        <v>20241014</v>
      </c>
      <c r="G19">
        <v>60</v>
      </c>
      <c r="H19" t="s">
        <v>2</v>
      </c>
      <c r="I19">
        <v>670615</v>
      </c>
      <c r="J19">
        <v>0</v>
      </c>
      <c r="K19">
        <v>1</v>
      </c>
      <c r="L19">
        <v>45</v>
      </c>
      <c r="M19">
        <v>104</v>
      </c>
      <c r="N19">
        <v>162784.9</v>
      </c>
      <c r="O19">
        <v>670615</v>
      </c>
      <c r="P19" t="s">
        <v>23</v>
      </c>
    </row>
    <row r="20" spans="1:16">
      <c r="A20" t="s">
        <v>166</v>
      </c>
      <c r="B20" t="s">
        <v>18</v>
      </c>
      <c r="C20" t="s">
        <v>1019</v>
      </c>
      <c r="D20">
        <v>20241014</v>
      </c>
      <c r="E20" t="s">
        <v>1</v>
      </c>
      <c r="F20">
        <v>20241014</v>
      </c>
      <c r="G20">
        <v>60</v>
      </c>
      <c r="H20" t="s">
        <v>2</v>
      </c>
      <c r="I20">
        <v>670615</v>
      </c>
      <c r="J20">
        <v>0</v>
      </c>
      <c r="K20">
        <v>1</v>
      </c>
      <c r="L20">
        <v>45</v>
      </c>
      <c r="M20">
        <v>104</v>
      </c>
      <c r="N20">
        <v>162784.9</v>
      </c>
      <c r="O20">
        <v>670615</v>
      </c>
      <c r="P20" t="s">
        <v>24</v>
      </c>
    </row>
    <row r="21" spans="1:16">
      <c r="A21" t="s">
        <v>167</v>
      </c>
      <c r="B21" t="s">
        <v>18</v>
      </c>
      <c r="C21" t="s">
        <v>1019</v>
      </c>
      <c r="D21">
        <v>20241014</v>
      </c>
      <c r="E21" t="s">
        <v>1</v>
      </c>
      <c r="F21">
        <v>20241014</v>
      </c>
      <c r="G21">
        <v>60</v>
      </c>
      <c r="H21" t="s">
        <v>2</v>
      </c>
      <c r="I21">
        <v>670615</v>
      </c>
      <c r="J21">
        <v>0</v>
      </c>
      <c r="K21">
        <v>1</v>
      </c>
      <c r="L21">
        <v>45</v>
      </c>
      <c r="M21">
        <v>104</v>
      </c>
      <c r="N21">
        <v>162784.9</v>
      </c>
      <c r="O21">
        <v>670615</v>
      </c>
      <c r="P21" t="s">
        <v>25</v>
      </c>
    </row>
    <row r="22" spans="1:16">
      <c r="A22" t="s">
        <v>168</v>
      </c>
      <c r="B22" t="s">
        <v>18</v>
      </c>
      <c r="C22" t="s">
        <v>1019</v>
      </c>
      <c r="D22">
        <v>20241014</v>
      </c>
      <c r="E22" t="s">
        <v>1</v>
      </c>
      <c r="F22">
        <v>20241014</v>
      </c>
      <c r="G22">
        <v>60</v>
      </c>
      <c r="H22" t="s">
        <v>2</v>
      </c>
      <c r="I22">
        <v>670615</v>
      </c>
      <c r="J22">
        <v>0</v>
      </c>
      <c r="K22">
        <v>1</v>
      </c>
      <c r="L22">
        <v>45</v>
      </c>
      <c r="M22">
        <v>104</v>
      </c>
      <c r="N22">
        <v>162784.9</v>
      </c>
      <c r="O22">
        <v>670615</v>
      </c>
      <c r="P22" t="s">
        <v>26</v>
      </c>
    </row>
    <row r="23" spans="1:16">
      <c r="A23" t="s">
        <v>169</v>
      </c>
      <c r="B23" t="s">
        <v>18</v>
      </c>
      <c r="C23" t="s">
        <v>1019</v>
      </c>
      <c r="D23">
        <v>20241014</v>
      </c>
      <c r="E23" t="s">
        <v>1</v>
      </c>
      <c r="F23">
        <v>20241014</v>
      </c>
      <c r="G23">
        <v>60</v>
      </c>
      <c r="H23" t="s">
        <v>2</v>
      </c>
      <c r="I23">
        <v>670615</v>
      </c>
      <c r="J23">
        <v>0</v>
      </c>
      <c r="K23">
        <v>1</v>
      </c>
      <c r="L23">
        <v>45</v>
      </c>
      <c r="M23">
        <v>104</v>
      </c>
      <c r="N23">
        <v>162784.9</v>
      </c>
      <c r="O23">
        <v>670615</v>
      </c>
      <c r="P23" t="s">
        <v>27</v>
      </c>
    </row>
    <row r="24" spans="1:16">
      <c r="A24" t="s">
        <v>170</v>
      </c>
      <c r="B24" t="s">
        <v>18</v>
      </c>
      <c r="C24" t="s">
        <v>1019</v>
      </c>
      <c r="D24">
        <v>20241014</v>
      </c>
      <c r="E24" t="s">
        <v>1</v>
      </c>
      <c r="F24">
        <v>20241014</v>
      </c>
      <c r="G24">
        <v>60</v>
      </c>
      <c r="H24" t="s">
        <v>2</v>
      </c>
      <c r="I24">
        <v>670615</v>
      </c>
      <c r="J24">
        <v>0</v>
      </c>
      <c r="K24">
        <v>1</v>
      </c>
      <c r="L24">
        <v>45</v>
      </c>
      <c r="M24">
        <v>104</v>
      </c>
      <c r="N24">
        <v>162784.9</v>
      </c>
      <c r="O24">
        <v>670615</v>
      </c>
      <c r="P24" t="s">
        <v>28</v>
      </c>
    </row>
    <row r="25" spans="1:16">
      <c r="A25" t="s">
        <v>171</v>
      </c>
      <c r="B25" t="s">
        <v>18</v>
      </c>
      <c r="C25" t="s">
        <v>1019</v>
      </c>
      <c r="D25">
        <v>20241014</v>
      </c>
      <c r="E25" t="s">
        <v>1</v>
      </c>
      <c r="F25">
        <v>20241014</v>
      </c>
      <c r="G25">
        <v>60</v>
      </c>
      <c r="H25" t="s">
        <v>2</v>
      </c>
      <c r="I25">
        <v>670615</v>
      </c>
      <c r="J25">
        <v>0</v>
      </c>
      <c r="K25">
        <v>1</v>
      </c>
      <c r="L25">
        <v>45</v>
      </c>
      <c r="M25">
        <v>104</v>
      </c>
      <c r="N25">
        <v>162784.9</v>
      </c>
      <c r="O25">
        <v>670615</v>
      </c>
      <c r="P25" t="s">
        <v>29</v>
      </c>
    </row>
    <row r="26" spans="1:16">
      <c r="A26" t="s">
        <v>172</v>
      </c>
      <c r="B26" t="s">
        <v>18</v>
      </c>
      <c r="C26" t="s">
        <v>1019</v>
      </c>
      <c r="D26">
        <v>20241014</v>
      </c>
      <c r="E26" t="s">
        <v>1</v>
      </c>
      <c r="F26">
        <v>20241014</v>
      </c>
      <c r="G26">
        <v>60</v>
      </c>
      <c r="H26" t="s">
        <v>2</v>
      </c>
      <c r="I26">
        <v>670615</v>
      </c>
      <c r="J26">
        <v>0</v>
      </c>
      <c r="K26">
        <v>1</v>
      </c>
      <c r="L26">
        <v>45</v>
      </c>
      <c r="M26">
        <v>104</v>
      </c>
      <c r="N26">
        <v>162784.9</v>
      </c>
      <c r="O26">
        <v>670615</v>
      </c>
      <c r="P26" t="s">
        <v>30</v>
      </c>
    </row>
    <row r="27" spans="1:16">
      <c r="A27" t="s">
        <v>173</v>
      </c>
      <c r="B27" t="s">
        <v>18</v>
      </c>
      <c r="C27" t="s">
        <v>1019</v>
      </c>
      <c r="D27">
        <v>20241014</v>
      </c>
      <c r="E27" t="s">
        <v>1</v>
      </c>
      <c r="F27">
        <v>20241014</v>
      </c>
      <c r="G27">
        <v>60</v>
      </c>
      <c r="H27" t="s">
        <v>2</v>
      </c>
      <c r="I27">
        <v>670615</v>
      </c>
      <c r="J27">
        <v>0</v>
      </c>
      <c r="K27">
        <v>1</v>
      </c>
      <c r="L27">
        <v>45</v>
      </c>
      <c r="M27">
        <v>104</v>
      </c>
      <c r="N27">
        <v>162784.9</v>
      </c>
      <c r="O27">
        <v>670615</v>
      </c>
      <c r="P27" t="s">
        <v>31</v>
      </c>
    </row>
    <row r="28" spans="1:16">
      <c r="A28" t="s">
        <v>174</v>
      </c>
      <c r="B28" t="s">
        <v>18</v>
      </c>
      <c r="C28" t="s">
        <v>1019</v>
      </c>
      <c r="D28">
        <v>20241014</v>
      </c>
      <c r="E28" t="s">
        <v>1</v>
      </c>
      <c r="F28">
        <v>20241014</v>
      </c>
      <c r="G28">
        <v>60</v>
      </c>
      <c r="H28" t="s">
        <v>2</v>
      </c>
      <c r="I28">
        <v>670615</v>
      </c>
      <c r="J28">
        <v>0</v>
      </c>
      <c r="K28">
        <v>1</v>
      </c>
      <c r="L28">
        <v>45</v>
      </c>
      <c r="M28">
        <v>104</v>
      </c>
      <c r="N28">
        <v>162784.9</v>
      </c>
      <c r="O28">
        <v>670615</v>
      </c>
      <c r="P28" t="s">
        <v>32</v>
      </c>
    </row>
    <row r="29" spans="1:16">
      <c r="A29" t="s">
        <v>175</v>
      </c>
      <c r="B29" t="s">
        <v>18</v>
      </c>
      <c r="C29" t="s">
        <v>1019</v>
      </c>
      <c r="D29">
        <v>20241014</v>
      </c>
      <c r="E29" t="s">
        <v>1</v>
      </c>
      <c r="F29">
        <v>20241014</v>
      </c>
      <c r="G29">
        <v>60</v>
      </c>
      <c r="H29" t="s">
        <v>2</v>
      </c>
      <c r="I29">
        <v>670615</v>
      </c>
      <c r="J29">
        <v>0</v>
      </c>
      <c r="K29">
        <v>1</v>
      </c>
      <c r="L29">
        <v>45</v>
      </c>
      <c r="M29">
        <v>104</v>
      </c>
      <c r="N29">
        <v>162784.9</v>
      </c>
      <c r="O29">
        <v>670615</v>
      </c>
      <c r="P29" t="s">
        <v>33</v>
      </c>
    </row>
    <row r="30" spans="1:16">
      <c r="A30" t="s">
        <v>176</v>
      </c>
      <c r="B30" t="s">
        <v>18</v>
      </c>
      <c r="C30" t="s">
        <v>1019</v>
      </c>
      <c r="D30">
        <v>20241014</v>
      </c>
      <c r="E30" t="s">
        <v>1</v>
      </c>
      <c r="F30">
        <v>20241014</v>
      </c>
      <c r="G30">
        <v>60</v>
      </c>
      <c r="H30" t="s">
        <v>2</v>
      </c>
      <c r="I30">
        <v>670615</v>
      </c>
      <c r="J30">
        <v>0</v>
      </c>
      <c r="K30">
        <v>1</v>
      </c>
      <c r="L30">
        <v>45</v>
      </c>
      <c r="M30">
        <v>104</v>
      </c>
      <c r="N30">
        <v>162784.9</v>
      </c>
      <c r="O30">
        <v>670615</v>
      </c>
      <c r="P30" t="s">
        <v>34</v>
      </c>
    </row>
    <row r="31" spans="1:16">
      <c r="A31" t="s">
        <v>177</v>
      </c>
      <c r="B31" t="s">
        <v>18</v>
      </c>
      <c r="C31" t="s">
        <v>1019</v>
      </c>
      <c r="D31">
        <v>20241014</v>
      </c>
      <c r="E31" t="s">
        <v>1</v>
      </c>
      <c r="F31">
        <v>20241014</v>
      </c>
      <c r="G31">
        <v>60</v>
      </c>
      <c r="H31" t="s">
        <v>2</v>
      </c>
      <c r="I31">
        <v>670615</v>
      </c>
      <c r="J31">
        <v>0</v>
      </c>
      <c r="K31">
        <v>1</v>
      </c>
      <c r="L31">
        <v>45</v>
      </c>
      <c r="M31">
        <v>104</v>
      </c>
      <c r="N31">
        <v>162784.9</v>
      </c>
      <c r="O31">
        <v>670615</v>
      </c>
      <c r="P31" t="s">
        <v>35</v>
      </c>
    </row>
    <row r="32" spans="1:16">
      <c r="A32" t="s">
        <v>178</v>
      </c>
      <c r="B32" t="s">
        <v>18</v>
      </c>
      <c r="C32" t="s">
        <v>1019</v>
      </c>
      <c r="D32">
        <v>20241014</v>
      </c>
      <c r="E32" t="s">
        <v>1</v>
      </c>
      <c r="F32">
        <v>20241014</v>
      </c>
      <c r="G32">
        <v>60</v>
      </c>
      <c r="H32" t="s">
        <v>2</v>
      </c>
      <c r="I32">
        <v>670615</v>
      </c>
      <c r="J32">
        <v>0</v>
      </c>
      <c r="K32">
        <v>1</v>
      </c>
      <c r="L32">
        <v>45</v>
      </c>
      <c r="M32">
        <v>104</v>
      </c>
      <c r="N32">
        <v>162784.9</v>
      </c>
      <c r="O32">
        <v>670615</v>
      </c>
      <c r="P32" t="s">
        <v>36</v>
      </c>
    </row>
    <row r="33" spans="1:16">
      <c r="A33" t="s">
        <v>179</v>
      </c>
      <c r="B33" t="s">
        <v>18</v>
      </c>
      <c r="C33" t="s">
        <v>1019</v>
      </c>
      <c r="D33">
        <v>20241014</v>
      </c>
      <c r="E33" t="s">
        <v>1</v>
      </c>
      <c r="F33">
        <v>20241014</v>
      </c>
      <c r="G33">
        <v>60</v>
      </c>
      <c r="H33" t="s">
        <v>2</v>
      </c>
      <c r="I33">
        <v>670615</v>
      </c>
      <c r="J33">
        <v>0</v>
      </c>
      <c r="K33">
        <v>1</v>
      </c>
      <c r="L33">
        <v>45</v>
      </c>
      <c r="M33">
        <v>104</v>
      </c>
      <c r="N33">
        <v>162784.9</v>
      </c>
      <c r="O33">
        <v>670615</v>
      </c>
      <c r="P33" t="s">
        <v>37</v>
      </c>
    </row>
    <row r="34" spans="1:16">
      <c r="A34" t="s">
        <v>180</v>
      </c>
      <c r="B34" t="s">
        <v>18</v>
      </c>
      <c r="C34" t="s">
        <v>1019</v>
      </c>
      <c r="D34">
        <v>20241014</v>
      </c>
      <c r="E34" t="s">
        <v>1</v>
      </c>
      <c r="F34">
        <v>20241014</v>
      </c>
      <c r="G34">
        <v>60</v>
      </c>
      <c r="H34" t="s">
        <v>2</v>
      </c>
      <c r="I34">
        <v>670615</v>
      </c>
      <c r="J34">
        <v>0</v>
      </c>
      <c r="K34">
        <v>1</v>
      </c>
      <c r="L34">
        <v>45</v>
      </c>
      <c r="M34">
        <v>104</v>
      </c>
      <c r="N34">
        <v>162784.9</v>
      </c>
      <c r="O34">
        <v>670615</v>
      </c>
      <c r="P34" t="s">
        <v>38</v>
      </c>
    </row>
    <row r="35" spans="1:16">
      <c r="A35" t="s">
        <v>181</v>
      </c>
      <c r="B35" t="s">
        <v>18</v>
      </c>
      <c r="C35" t="s">
        <v>1019</v>
      </c>
      <c r="D35">
        <v>20241014</v>
      </c>
      <c r="E35" t="s">
        <v>1</v>
      </c>
      <c r="F35">
        <v>20241014</v>
      </c>
      <c r="G35">
        <v>60</v>
      </c>
      <c r="H35" t="s">
        <v>2</v>
      </c>
      <c r="I35">
        <v>670615</v>
      </c>
      <c r="J35">
        <v>0</v>
      </c>
      <c r="K35">
        <v>1</v>
      </c>
      <c r="L35">
        <v>45</v>
      </c>
      <c r="M35">
        <v>104</v>
      </c>
      <c r="N35">
        <v>162784.9</v>
      </c>
      <c r="O35">
        <v>670615</v>
      </c>
      <c r="P35" t="s">
        <v>39</v>
      </c>
    </row>
    <row r="36" spans="1:16">
      <c r="A36" t="s">
        <v>182</v>
      </c>
      <c r="B36" t="s">
        <v>18</v>
      </c>
      <c r="C36" t="s">
        <v>1019</v>
      </c>
      <c r="D36">
        <v>20241014</v>
      </c>
      <c r="E36" t="s">
        <v>1</v>
      </c>
      <c r="F36">
        <v>20241014</v>
      </c>
      <c r="G36">
        <v>60</v>
      </c>
      <c r="H36" t="s">
        <v>2</v>
      </c>
      <c r="I36">
        <v>670615</v>
      </c>
      <c r="J36">
        <v>0</v>
      </c>
      <c r="K36">
        <v>1</v>
      </c>
      <c r="L36">
        <v>45</v>
      </c>
      <c r="M36">
        <v>104</v>
      </c>
      <c r="N36">
        <v>162784.9</v>
      </c>
      <c r="O36">
        <v>670615</v>
      </c>
      <c r="P36" t="s">
        <v>40</v>
      </c>
    </row>
    <row r="37" spans="1:16">
      <c r="A37" t="s">
        <v>183</v>
      </c>
      <c r="B37" t="s">
        <v>18</v>
      </c>
      <c r="C37" t="s">
        <v>1019</v>
      </c>
      <c r="D37">
        <v>20241014</v>
      </c>
      <c r="E37" t="s">
        <v>1</v>
      </c>
      <c r="F37">
        <v>20241014</v>
      </c>
      <c r="G37">
        <v>60</v>
      </c>
      <c r="H37" t="s">
        <v>2</v>
      </c>
      <c r="I37">
        <v>670615</v>
      </c>
      <c r="J37">
        <v>0</v>
      </c>
      <c r="K37">
        <v>1</v>
      </c>
      <c r="L37">
        <v>45</v>
      </c>
      <c r="M37">
        <v>104</v>
      </c>
      <c r="N37">
        <v>162784.9</v>
      </c>
      <c r="O37">
        <v>670615</v>
      </c>
      <c r="P37" t="s">
        <v>41</v>
      </c>
    </row>
    <row r="38" spans="1:16">
      <c r="A38" t="s">
        <v>184</v>
      </c>
      <c r="B38" t="s">
        <v>18</v>
      </c>
      <c r="C38" t="s">
        <v>1019</v>
      </c>
      <c r="D38">
        <v>20241014</v>
      </c>
      <c r="E38" t="s">
        <v>1</v>
      </c>
      <c r="F38">
        <v>20241014</v>
      </c>
      <c r="G38">
        <v>60</v>
      </c>
      <c r="H38" t="s">
        <v>2</v>
      </c>
      <c r="I38">
        <v>670615</v>
      </c>
      <c r="J38">
        <v>0</v>
      </c>
      <c r="K38">
        <v>1</v>
      </c>
      <c r="L38">
        <v>45</v>
      </c>
      <c r="M38">
        <v>104</v>
      </c>
      <c r="N38">
        <v>162784.9</v>
      </c>
      <c r="O38">
        <v>670615</v>
      </c>
      <c r="P38" t="s">
        <v>42</v>
      </c>
    </row>
    <row r="39" spans="1:16">
      <c r="A39" t="s">
        <v>185</v>
      </c>
      <c r="B39" t="s">
        <v>18</v>
      </c>
      <c r="C39" t="s">
        <v>1019</v>
      </c>
      <c r="D39">
        <v>20241014</v>
      </c>
      <c r="E39" t="s">
        <v>1</v>
      </c>
      <c r="F39">
        <v>20241014</v>
      </c>
      <c r="G39">
        <v>60</v>
      </c>
      <c r="H39" t="s">
        <v>2</v>
      </c>
      <c r="I39">
        <v>670615</v>
      </c>
      <c r="J39">
        <v>0</v>
      </c>
      <c r="K39">
        <v>1</v>
      </c>
      <c r="L39">
        <v>45</v>
      </c>
      <c r="M39">
        <v>104</v>
      </c>
      <c r="N39">
        <v>162784.9</v>
      </c>
      <c r="O39">
        <v>670615</v>
      </c>
      <c r="P39" t="s">
        <v>43</v>
      </c>
    </row>
    <row r="40" spans="1:16">
      <c r="A40" t="s">
        <v>186</v>
      </c>
      <c r="B40" t="s">
        <v>44</v>
      </c>
      <c r="C40" t="s">
        <v>1019</v>
      </c>
      <c r="D40">
        <v>20251027</v>
      </c>
      <c r="E40" t="s">
        <v>1</v>
      </c>
      <c r="F40">
        <v>20251027</v>
      </c>
      <c r="G40">
        <v>60</v>
      </c>
      <c r="H40" t="s">
        <v>2</v>
      </c>
      <c r="I40">
        <v>20091060</v>
      </c>
      <c r="J40">
        <v>0</v>
      </c>
      <c r="K40">
        <v>1</v>
      </c>
      <c r="L40">
        <v>57</v>
      </c>
      <c r="M40">
        <v>104</v>
      </c>
      <c r="N40">
        <v>715572</v>
      </c>
      <c r="O40">
        <v>20091060</v>
      </c>
      <c r="P40" t="s">
        <v>45</v>
      </c>
    </row>
    <row r="41" spans="1:16">
      <c r="A41" t="s">
        <v>187</v>
      </c>
      <c r="B41" t="s">
        <v>46</v>
      </c>
      <c r="C41" t="s">
        <v>1019</v>
      </c>
      <c r="D41">
        <v>20240506</v>
      </c>
      <c r="E41" t="s">
        <v>1</v>
      </c>
      <c r="F41">
        <v>20240506</v>
      </c>
      <c r="G41">
        <v>60</v>
      </c>
      <c r="H41" t="s">
        <v>2</v>
      </c>
      <c r="I41">
        <v>1362110</v>
      </c>
      <c r="J41">
        <v>0</v>
      </c>
      <c r="K41">
        <v>1</v>
      </c>
      <c r="L41">
        <v>40</v>
      </c>
      <c r="M41">
        <v>104</v>
      </c>
      <c r="N41">
        <v>450802.43</v>
      </c>
      <c r="O41">
        <v>1362110</v>
      </c>
      <c r="P41" t="s">
        <v>47</v>
      </c>
    </row>
    <row r="42" spans="1:16">
      <c r="A42" t="s">
        <v>188</v>
      </c>
      <c r="B42" t="s">
        <v>46</v>
      </c>
      <c r="C42" t="s">
        <v>1019</v>
      </c>
      <c r="D42">
        <v>20240506</v>
      </c>
      <c r="E42" t="s">
        <v>1</v>
      </c>
      <c r="F42">
        <v>20240506</v>
      </c>
      <c r="G42">
        <v>60</v>
      </c>
      <c r="H42" t="s">
        <v>2</v>
      </c>
      <c r="I42">
        <v>1362110</v>
      </c>
      <c r="J42">
        <v>0</v>
      </c>
      <c r="K42">
        <v>1</v>
      </c>
      <c r="L42">
        <v>40</v>
      </c>
      <c r="M42">
        <v>104</v>
      </c>
      <c r="N42">
        <v>450802.43</v>
      </c>
      <c r="O42">
        <v>1362110</v>
      </c>
      <c r="P42" t="s">
        <v>48</v>
      </c>
    </row>
    <row r="43" spans="1:16">
      <c r="A43" t="s">
        <v>189</v>
      </c>
      <c r="B43" t="s">
        <v>49</v>
      </c>
      <c r="C43" t="s">
        <v>1019</v>
      </c>
      <c r="D43">
        <v>20240507</v>
      </c>
      <c r="E43" t="s">
        <v>1</v>
      </c>
      <c r="F43">
        <v>20240507</v>
      </c>
      <c r="G43">
        <v>60</v>
      </c>
      <c r="H43" t="s">
        <v>2</v>
      </c>
      <c r="I43">
        <v>3656725</v>
      </c>
      <c r="J43">
        <v>0</v>
      </c>
      <c r="K43">
        <v>1</v>
      </c>
      <c r="L43">
        <v>40</v>
      </c>
      <c r="M43">
        <v>104</v>
      </c>
      <c r="N43">
        <v>1208222.01</v>
      </c>
      <c r="O43">
        <v>3656725</v>
      </c>
      <c r="P43" t="s">
        <v>50</v>
      </c>
    </row>
    <row r="44" spans="1:16">
      <c r="A44" t="s">
        <v>190</v>
      </c>
      <c r="B44" t="s">
        <v>49</v>
      </c>
      <c r="C44" t="s">
        <v>1019</v>
      </c>
      <c r="D44">
        <v>20240507</v>
      </c>
      <c r="E44" t="s">
        <v>1</v>
      </c>
      <c r="F44">
        <v>20240507</v>
      </c>
      <c r="G44">
        <v>60</v>
      </c>
      <c r="H44" t="s">
        <v>2</v>
      </c>
      <c r="I44">
        <v>3656725</v>
      </c>
      <c r="J44">
        <v>0</v>
      </c>
      <c r="K44">
        <v>1</v>
      </c>
      <c r="L44">
        <v>40</v>
      </c>
      <c r="M44">
        <v>104</v>
      </c>
      <c r="N44">
        <v>1208222.01</v>
      </c>
      <c r="O44">
        <v>3656725</v>
      </c>
      <c r="P44" t="s">
        <v>51</v>
      </c>
    </row>
    <row r="45" spans="1:16">
      <c r="A45" t="s">
        <v>191</v>
      </c>
      <c r="B45" t="s">
        <v>49</v>
      </c>
      <c r="C45" t="s">
        <v>1019</v>
      </c>
      <c r="D45">
        <v>20240507</v>
      </c>
      <c r="E45" t="s">
        <v>1</v>
      </c>
      <c r="F45">
        <v>20240507</v>
      </c>
      <c r="G45">
        <v>60</v>
      </c>
      <c r="H45" t="s">
        <v>2</v>
      </c>
      <c r="I45">
        <v>3656725</v>
      </c>
      <c r="J45">
        <v>0</v>
      </c>
      <c r="K45">
        <v>1</v>
      </c>
      <c r="L45">
        <v>40</v>
      </c>
      <c r="M45">
        <v>104</v>
      </c>
      <c r="N45">
        <v>1208222.01</v>
      </c>
      <c r="O45">
        <v>3656725</v>
      </c>
      <c r="P45" t="s">
        <v>52</v>
      </c>
    </row>
    <row r="46" spans="1:16">
      <c r="A46" t="s">
        <v>192</v>
      </c>
      <c r="B46" t="s">
        <v>49</v>
      </c>
      <c r="C46" t="s">
        <v>1019</v>
      </c>
      <c r="D46">
        <v>20240507</v>
      </c>
      <c r="E46" t="s">
        <v>1</v>
      </c>
      <c r="F46">
        <v>20240507</v>
      </c>
      <c r="G46">
        <v>60</v>
      </c>
      <c r="H46" t="s">
        <v>2</v>
      </c>
      <c r="I46">
        <v>3656725</v>
      </c>
      <c r="J46">
        <v>0</v>
      </c>
      <c r="K46">
        <v>1</v>
      </c>
      <c r="L46">
        <v>40</v>
      </c>
      <c r="M46">
        <v>104</v>
      </c>
      <c r="N46">
        <v>1208222.01</v>
      </c>
      <c r="O46">
        <v>3656725</v>
      </c>
      <c r="P46" t="s">
        <v>53</v>
      </c>
    </row>
    <row r="47" spans="1:16">
      <c r="A47" t="s">
        <v>193</v>
      </c>
      <c r="B47" t="s">
        <v>54</v>
      </c>
      <c r="C47" t="s">
        <v>1019</v>
      </c>
      <c r="D47">
        <v>20240506</v>
      </c>
      <c r="E47" t="s">
        <v>1</v>
      </c>
      <c r="F47">
        <v>20240506</v>
      </c>
      <c r="G47">
        <v>60</v>
      </c>
      <c r="H47" t="s">
        <v>2</v>
      </c>
      <c r="I47">
        <v>3154360</v>
      </c>
      <c r="J47">
        <v>0</v>
      </c>
      <c r="K47">
        <v>1</v>
      </c>
      <c r="L47">
        <v>40</v>
      </c>
      <c r="M47">
        <v>104</v>
      </c>
      <c r="N47">
        <v>1043963.53</v>
      </c>
      <c r="O47">
        <v>3154360</v>
      </c>
      <c r="P47" t="s">
        <v>55</v>
      </c>
    </row>
    <row r="48" spans="1:16">
      <c r="A48" t="s">
        <v>194</v>
      </c>
      <c r="B48" t="s">
        <v>56</v>
      </c>
      <c r="C48" t="s">
        <v>1019</v>
      </c>
      <c r="D48">
        <v>20240506</v>
      </c>
      <c r="E48" t="s">
        <v>1</v>
      </c>
      <c r="F48">
        <v>20240506</v>
      </c>
      <c r="G48">
        <v>60</v>
      </c>
      <c r="H48" t="s">
        <v>2</v>
      </c>
      <c r="I48">
        <v>3835415</v>
      </c>
      <c r="J48">
        <v>0</v>
      </c>
      <c r="K48">
        <v>1</v>
      </c>
      <c r="L48">
        <v>40</v>
      </c>
      <c r="M48">
        <v>104</v>
      </c>
      <c r="N48">
        <v>1269364.75</v>
      </c>
      <c r="O48">
        <v>3835415</v>
      </c>
      <c r="P48" t="s">
        <v>57</v>
      </c>
    </row>
    <row r="49" spans="1:16">
      <c r="A49" t="s">
        <v>195</v>
      </c>
      <c r="B49" t="s">
        <v>58</v>
      </c>
      <c r="C49" t="s">
        <v>1019</v>
      </c>
      <c r="D49">
        <v>20240506</v>
      </c>
      <c r="E49" t="s">
        <v>1</v>
      </c>
      <c r="F49">
        <v>20240506</v>
      </c>
      <c r="G49">
        <v>60</v>
      </c>
      <c r="H49" t="s">
        <v>2</v>
      </c>
      <c r="I49">
        <v>3835415</v>
      </c>
      <c r="J49">
        <v>0</v>
      </c>
      <c r="K49">
        <v>1</v>
      </c>
      <c r="L49">
        <v>40</v>
      </c>
      <c r="M49">
        <v>104</v>
      </c>
      <c r="N49">
        <v>1269364.75</v>
      </c>
      <c r="O49">
        <v>3835415</v>
      </c>
      <c r="P49" t="s">
        <v>59</v>
      </c>
    </row>
    <row r="50" spans="1:16">
      <c r="A50" t="s">
        <v>196</v>
      </c>
      <c r="B50" t="s">
        <v>60</v>
      </c>
      <c r="C50" t="s">
        <v>1019</v>
      </c>
      <c r="D50">
        <v>20231010</v>
      </c>
      <c r="E50" t="s">
        <v>1</v>
      </c>
      <c r="F50">
        <v>20231010</v>
      </c>
      <c r="G50">
        <v>60</v>
      </c>
      <c r="H50" t="s">
        <v>2</v>
      </c>
      <c r="I50">
        <v>10243884.9</v>
      </c>
      <c r="J50">
        <v>0</v>
      </c>
      <c r="K50">
        <v>1</v>
      </c>
      <c r="L50">
        <v>33</v>
      </c>
      <c r="M50">
        <v>104</v>
      </c>
      <c r="N50">
        <v>4563440.2300000004</v>
      </c>
      <c r="O50">
        <v>10243884.9</v>
      </c>
    </row>
    <row r="51" spans="1:16">
      <c r="A51" t="s">
        <v>197</v>
      </c>
      <c r="B51" t="s">
        <v>61</v>
      </c>
      <c r="C51" t="s">
        <v>1019</v>
      </c>
      <c r="D51">
        <v>20231221</v>
      </c>
      <c r="E51" t="s">
        <v>1</v>
      </c>
      <c r="F51">
        <v>20231221</v>
      </c>
      <c r="G51">
        <v>60</v>
      </c>
      <c r="H51" t="s">
        <v>2</v>
      </c>
      <c r="I51">
        <v>6580288</v>
      </c>
      <c r="J51">
        <v>0</v>
      </c>
      <c r="K51">
        <v>1</v>
      </c>
      <c r="L51">
        <v>35</v>
      </c>
      <c r="M51">
        <v>104</v>
      </c>
      <c r="N51">
        <v>2671777.21</v>
      </c>
      <c r="O51">
        <v>6580288</v>
      </c>
    </row>
    <row r="52" spans="1:16">
      <c r="A52" t="s">
        <v>198</v>
      </c>
      <c r="B52" t="s">
        <v>62</v>
      </c>
      <c r="C52" t="s">
        <v>1019</v>
      </c>
      <c r="D52">
        <v>20231110</v>
      </c>
      <c r="E52" t="s">
        <v>1</v>
      </c>
      <c r="F52">
        <v>20231110</v>
      </c>
      <c r="G52">
        <v>60</v>
      </c>
      <c r="H52" t="s">
        <v>2</v>
      </c>
      <c r="I52">
        <v>3294480</v>
      </c>
      <c r="J52">
        <v>0</v>
      </c>
      <c r="K52">
        <v>1</v>
      </c>
      <c r="L52">
        <v>34</v>
      </c>
      <c r="M52">
        <v>104</v>
      </c>
      <c r="N52">
        <v>1411662.12</v>
      </c>
      <c r="O52">
        <v>3294480</v>
      </c>
    </row>
    <row r="53" spans="1:16">
      <c r="A53" t="s">
        <v>199</v>
      </c>
      <c r="B53" t="s">
        <v>63</v>
      </c>
      <c r="C53" t="s">
        <v>1019</v>
      </c>
      <c r="D53">
        <v>20240229</v>
      </c>
      <c r="E53" t="s">
        <v>1</v>
      </c>
      <c r="F53">
        <v>20240229</v>
      </c>
      <c r="G53">
        <v>60</v>
      </c>
      <c r="H53" t="s">
        <v>2</v>
      </c>
      <c r="I53">
        <v>4066000</v>
      </c>
      <c r="J53">
        <v>0</v>
      </c>
      <c r="K53">
        <v>1</v>
      </c>
      <c r="L53">
        <v>37</v>
      </c>
      <c r="M53">
        <v>104</v>
      </c>
      <c r="N53">
        <v>1494951.23</v>
      </c>
      <c r="O53">
        <v>4066000</v>
      </c>
      <c r="P53" t="s">
        <v>64</v>
      </c>
    </row>
    <row r="54" spans="1:16">
      <c r="A54" t="s">
        <v>200</v>
      </c>
      <c r="B54" t="s">
        <v>63</v>
      </c>
      <c r="C54" t="s">
        <v>1019</v>
      </c>
      <c r="D54">
        <v>20240229</v>
      </c>
      <c r="E54" t="s">
        <v>1</v>
      </c>
      <c r="F54">
        <v>20240229</v>
      </c>
      <c r="G54">
        <v>60</v>
      </c>
      <c r="H54" t="s">
        <v>2</v>
      </c>
      <c r="I54">
        <v>4066000</v>
      </c>
      <c r="J54">
        <v>0</v>
      </c>
      <c r="K54">
        <v>1</v>
      </c>
      <c r="L54">
        <v>37</v>
      </c>
      <c r="M54">
        <v>104</v>
      </c>
      <c r="N54">
        <v>1494951.23</v>
      </c>
      <c r="O54">
        <v>4066000</v>
      </c>
      <c r="P54" t="s">
        <v>65</v>
      </c>
    </row>
    <row r="55" spans="1:16">
      <c r="A55" t="s">
        <v>201</v>
      </c>
      <c r="B55" t="s">
        <v>63</v>
      </c>
      <c r="C55" t="s">
        <v>1019</v>
      </c>
      <c r="D55">
        <v>20240730</v>
      </c>
      <c r="E55" t="s">
        <v>1</v>
      </c>
      <c r="F55">
        <v>20240730</v>
      </c>
      <c r="G55">
        <v>60</v>
      </c>
      <c r="H55" t="s">
        <v>2</v>
      </c>
      <c r="I55">
        <v>4235000</v>
      </c>
      <c r="J55">
        <v>0</v>
      </c>
      <c r="K55">
        <v>1</v>
      </c>
      <c r="L55">
        <v>42</v>
      </c>
      <c r="M55">
        <v>104</v>
      </c>
      <c r="N55">
        <v>1204364.3799999999</v>
      </c>
      <c r="O55">
        <v>4235000</v>
      </c>
      <c r="P55" t="s">
        <v>66</v>
      </c>
    </row>
    <row r="56" spans="1:16">
      <c r="A56" t="s">
        <v>202</v>
      </c>
      <c r="B56" t="s">
        <v>67</v>
      </c>
      <c r="C56" t="s">
        <v>1019</v>
      </c>
      <c r="D56">
        <v>20210407</v>
      </c>
      <c r="E56" t="s">
        <v>1</v>
      </c>
      <c r="F56">
        <v>20210407</v>
      </c>
      <c r="G56">
        <v>60</v>
      </c>
      <c r="H56" t="s">
        <v>2</v>
      </c>
      <c r="I56">
        <v>450000</v>
      </c>
      <c r="J56">
        <v>0</v>
      </c>
      <c r="K56">
        <v>1</v>
      </c>
      <c r="L56">
        <v>3</v>
      </c>
      <c r="M56">
        <v>104</v>
      </c>
      <c r="N56">
        <v>426328.77</v>
      </c>
      <c r="O56">
        <v>450000</v>
      </c>
    </row>
    <row r="57" spans="1:16">
      <c r="A57" t="s">
        <v>203</v>
      </c>
      <c r="B57" t="s">
        <v>68</v>
      </c>
      <c r="C57" t="s">
        <v>1019</v>
      </c>
      <c r="D57">
        <v>20210713</v>
      </c>
      <c r="E57" t="s">
        <v>1</v>
      </c>
      <c r="F57">
        <v>20210713</v>
      </c>
      <c r="G57">
        <v>60</v>
      </c>
      <c r="H57" t="s">
        <v>2</v>
      </c>
      <c r="I57">
        <v>403788</v>
      </c>
      <c r="J57">
        <v>0</v>
      </c>
      <c r="K57">
        <v>1</v>
      </c>
      <c r="L57">
        <v>6</v>
      </c>
      <c r="M57">
        <v>104</v>
      </c>
      <c r="N57">
        <v>361086.04</v>
      </c>
      <c r="O57">
        <v>403788</v>
      </c>
    </row>
    <row r="58" spans="1:16">
      <c r="A58" t="s">
        <v>204</v>
      </c>
      <c r="B58" t="s">
        <v>69</v>
      </c>
      <c r="C58" t="s">
        <v>1019</v>
      </c>
      <c r="D58">
        <v>20210128</v>
      </c>
      <c r="E58" t="s">
        <v>1</v>
      </c>
      <c r="F58">
        <v>20210128</v>
      </c>
      <c r="G58">
        <v>60</v>
      </c>
      <c r="H58" t="s">
        <v>2</v>
      </c>
      <c r="I58">
        <v>140000</v>
      </c>
      <c r="J58">
        <v>0</v>
      </c>
      <c r="K58">
        <v>1</v>
      </c>
      <c r="L58">
        <v>0</v>
      </c>
      <c r="M58">
        <v>104</v>
      </c>
      <c r="N58">
        <v>140000</v>
      </c>
      <c r="O58">
        <v>140000</v>
      </c>
    </row>
    <row r="59" spans="1:16">
      <c r="A59" t="s">
        <v>205</v>
      </c>
      <c r="B59" t="s">
        <v>70</v>
      </c>
      <c r="C59" t="s">
        <v>1019</v>
      </c>
      <c r="D59">
        <v>20210128</v>
      </c>
      <c r="E59" t="s">
        <v>1</v>
      </c>
      <c r="F59">
        <v>20210128</v>
      </c>
      <c r="G59">
        <v>60</v>
      </c>
      <c r="H59" t="s">
        <v>2</v>
      </c>
      <c r="I59">
        <v>300000</v>
      </c>
      <c r="J59">
        <v>0</v>
      </c>
      <c r="K59">
        <v>1</v>
      </c>
      <c r="L59">
        <v>0</v>
      </c>
      <c r="M59">
        <v>104</v>
      </c>
      <c r="N59">
        <v>300000</v>
      </c>
      <c r="O59">
        <v>300000</v>
      </c>
    </row>
    <row r="60" spans="1:16">
      <c r="A60" t="s">
        <v>206</v>
      </c>
      <c r="B60" t="s">
        <v>71</v>
      </c>
      <c r="C60" t="s">
        <v>1019</v>
      </c>
      <c r="D60">
        <v>20210407</v>
      </c>
      <c r="E60" t="s">
        <v>1</v>
      </c>
      <c r="F60">
        <v>20210407</v>
      </c>
      <c r="G60">
        <v>60</v>
      </c>
      <c r="H60" t="s">
        <v>2</v>
      </c>
      <c r="I60">
        <v>700000</v>
      </c>
      <c r="J60">
        <v>0</v>
      </c>
      <c r="K60">
        <v>1</v>
      </c>
      <c r="L60">
        <v>3</v>
      </c>
      <c r="M60">
        <v>104</v>
      </c>
      <c r="N60">
        <v>663178.07999999996</v>
      </c>
      <c r="O60">
        <v>700000</v>
      </c>
    </row>
    <row r="61" spans="1:16">
      <c r="A61" t="s">
        <v>207</v>
      </c>
      <c r="B61" t="s">
        <v>72</v>
      </c>
      <c r="C61" t="s">
        <v>1019</v>
      </c>
      <c r="D61">
        <v>20180207</v>
      </c>
      <c r="E61" t="s">
        <v>1</v>
      </c>
      <c r="F61">
        <v>20180207</v>
      </c>
      <c r="G61">
        <v>60</v>
      </c>
      <c r="H61" t="s">
        <v>2</v>
      </c>
      <c r="I61">
        <v>27000000</v>
      </c>
      <c r="J61">
        <v>0</v>
      </c>
      <c r="K61">
        <v>1</v>
      </c>
      <c r="L61">
        <v>0</v>
      </c>
      <c r="M61">
        <v>104</v>
      </c>
      <c r="N61">
        <v>27000000</v>
      </c>
      <c r="O61">
        <v>27000000</v>
      </c>
    </row>
    <row r="62" spans="1:16">
      <c r="A62" t="s">
        <v>208</v>
      </c>
      <c r="B62" t="s">
        <v>72</v>
      </c>
      <c r="C62" t="s">
        <v>1019</v>
      </c>
      <c r="D62">
        <v>20180101</v>
      </c>
      <c r="E62" t="s">
        <v>1</v>
      </c>
      <c r="F62">
        <v>20180101</v>
      </c>
      <c r="G62">
        <v>60</v>
      </c>
      <c r="H62" t="s">
        <v>2</v>
      </c>
      <c r="I62">
        <v>1492800</v>
      </c>
      <c r="J62">
        <v>0</v>
      </c>
      <c r="K62">
        <v>1</v>
      </c>
      <c r="L62">
        <v>0</v>
      </c>
      <c r="M62">
        <v>104</v>
      </c>
      <c r="N62">
        <v>1492800</v>
      </c>
      <c r="O62">
        <v>1492800</v>
      </c>
    </row>
    <row r="63" spans="1:16">
      <c r="A63" t="s">
        <v>209</v>
      </c>
      <c r="B63" t="s">
        <v>72</v>
      </c>
      <c r="C63" t="s">
        <v>1019</v>
      </c>
      <c r="D63">
        <v>20180101</v>
      </c>
      <c r="E63" t="s">
        <v>1</v>
      </c>
      <c r="F63">
        <v>20180101</v>
      </c>
      <c r="G63">
        <v>60</v>
      </c>
      <c r="H63" t="s">
        <v>2</v>
      </c>
      <c r="I63">
        <v>1492800</v>
      </c>
      <c r="J63">
        <v>0</v>
      </c>
      <c r="K63">
        <v>1</v>
      </c>
      <c r="L63">
        <v>0</v>
      </c>
      <c r="M63">
        <v>104</v>
      </c>
      <c r="N63">
        <v>1492800</v>
      </c>
      <c r="O63">
        <v>1492800</v>
      </c>
    </row>
    <row r="64" spans="1:16">
      <c r="A64" t="s">
        <v>210</v>
      </c>
      <c r="B64" t="s">
        <v>73</v>
      </c>
      <c r="C64" t="s">
        <v>1019</v>
      </c>
      <c r="D64">
        <v>20180101</v>
      </c>
      <c r="E64" t="s">
        <v>1</v>
      </c>
      <c r="F64">
        <v>20180101</v>
      </c>
      <c r="G64">
        <v>60</v>
      </c>
      <c r="H64" t="s">
        <v>2</v>
      </c>
      <c r="I64">
        <v>1082280</v>
      </c>
      <c r="J64">
        <v>0</v>
      </c>
      <c r="K64">
        <v>1</v>
      </c>
      <c r="L64">
        <v>0</v>
      </c>
      <c r="M64">
        <v>104</v>
      </c>
      <c r="N64">
        <v>1082280</v>
      </c>
      <c r="O64">
        <v>1082280</v>
      </c>
    </row>
    <row r="65" spans="1:16">
      <c r="A65" t="s">
        <v>211</v>
      </c>
      <c r="B65" t="s">
        <v>74</v>
      </c>
      <c r="C65" t="s">
        <v>1019</v>
      </c>
      <c r="D65">
        <v>20180101</v>
      </c>
      <c r="E65" t="s">
        <v>1</v>
      </c>
      <c r="F65">
        <v>20180101</v>
      </c>
      <c r="G65">
        <v>60</v>
      </c>
      <c r="H65" t="s">
        <v>2</v>
      </c>
      <c r="I65">
        <v>1082280</v>
      </c>
      <c r="J65">
        <v>0</v>
      </c>
      <c r="K65">
        <v>1</v>
      </c>
      <c r="L65">
        <v>0</v>
      </c>
      <c r="M65">
        <v>104</v>
      </c>
      <c r="N65">
        <v>1082280</v>
      </c>
      <c r="O65">
        <v>1082280</v>
      </c>
    </row>
    <row r="66" spans="1:16">
      <c r="A66" t="s">
        <v>212</v>
      </c>
      <c r="B66" t="s">
        <v>75</v>
      </c>
      <c r="C66" t="s">
        <v>1019</v>
      </c>
      <c r="D66">
        <v>20250630</v>
      </c>
      <c r="E66" t="s">
        <v>1</v>
      </c>
      <c r="F66">
        <v>20250630</v>
      </c>
      <c r="G66">
        <v>60</v>
      </c>
      <c r="H66" t="s">
        <v>2</v>
      </c>
      <c r="I66">
        <v>787050</v>
      </c>
      <c r="J66">
        <v>0</v>
      </c>
      <c r="K66">
        <v>1</v>
      </c>
      <c r="L66">
        <v>53</v>
      </c>
      <c r="M66">
        <v>104</v>
      </c>
      <c r="N66">
        <v>79351.89</v>
      </c>
      <c r="O66">
        <v>787050</v>
      </c>
      <c r="P66" t="s">
        <v>76</v>
      </c>
    </row>
    <row r="67" spans="1:16">
      <c r="A67" t="s">
        <v>213</v>
      </c>
      <c r="B67" t="s">
        <v>75</v>
      </c>
      <c r="C67" t="s">
        <v>1019</v>
      </c>
      <c r="D67">
        <v>20250630</v>
      </c>
      <c r="E67" t="s">
        <v>1</v>
      </c>
      <c r="F67">
        <v>20250630</v>
      </c>
      <c r="G67">
        <v>60</v>
      </c>
      <c r="H67" t="s">
        <v>2</v>
      </c>
      <c r="I67">
        <v>787050</v>
      </c>
      <c r="J67">
        <v>0</v>
      </c>
      <c r="K67">
        <v>1</v>
      </c>
      <c r="L67">
        <v>53</v>
      </c>
      <c r="M67">
        <v>104</v>
      </c>
      <c r="N67">
        <v>79351.89</v>
      </c>
      <c r="O67">
        <v>787050</v>
      </c>
      <c r="P67" t="s">
        <v>77</v>
      </c>
    </row>
    <row r="68" spans="1:16">
      <c r="A68" t="s">
        <v>214</v>
      </c>
      <c r="B68" t="s">
        <v>75</v>
      </c>
      <c r="C68" t="s">
        <v>1019</v>
      </c>
      <c r="D68">
        <v>20250630</v>
      </c>
      <c r="E68" t="s">
        <v>1</v>
      </c>
      <c r="F68">
        <v>20250630</v>
      </c>
      <c r="G68">
        <v>60</v>
      </c>
      <c r="H68" t="s">
        <v>2</v>
      </c>
      <c r="I68">
        <v>787050</v>
      </c>
      <c r="J68">
        <v>0</v>
      </c>
      <c r="K68">
        <v>1</v>
      </c>
      <c r="L68">
        <v>53</v>
      </c>
      <c r="M68">
        <v>104</v>
      </c>
      <c r="N68">
        <v>79351.89</v>
      </c>
      <c r="O68">
        <v>787050</v>
      </c>
      <c r="P68" t="s">
        <v>78</v>
      </c>
    </row>
    <row r="69" spans="1:16">
      <c r="A69" t="s">
        <v>215</v>
      </c>
      <c r="B69" t="s">
        <v>75</v>
      </c>
      <c r="C69" t="s">
        <v>1019</v>
      </c>
      <c r="D69">
        <v>20250630</v>
      </c>
      <c r="E69" t="s">
        <v>1</v>
      </c>
      <c r="F69">
        <v>20250630</v>
      </c>
      <c r="G69">
        <v>60</v>
      </c>
      <c r="H69" t="s">
        <v>2</v>
      </c>
      <c r="I69">
        <v>787050</v>
      </c>
      <c r="J69">
        <v>0</v>
      </c>
      <c r="K69">
        <v>1</v>
      </c>
      <c r="L69">
        <v>53</v>
      </c>
      <c r="M69">
        <v>104</v>
      </c>
      <c r="N69">
        <v>79351.89</v>
      </c>
      <c r="O69">
        <v>787050</v>
      </c>
      <c r="P69" t="s">
        <v>79</v>
      </c>
    </row>
    <row r="70" spans="1:16">
      <c r="A70" t="s">
        <v>216</v>
      </c>
      <c r="B70" t="s">
        <v>75</v>
      </c>
      <c r="C70" t="s">
        <v>1019</v>
      </c>
      <c r="D70">
        <v>20250630</v>
      </c>
      <c r="E70" t="s">
        <v>1</v>
      </c>
      <c r="F70">
        <v>20250630</v>
      </c>
      <c r="G70">
        <v>60</v>
      </c>
      <c r="H70" t="s">
        <v>2</v>
      </c>
      <c r="I70">
        <v>787050</v>
      </c>
      <c r="J70">
        <v>0</v>
      </c>
      <c r="K70">
        <v>1</v>
      </c>
      <c r="L70">
        <v>53</v>
      </c>
      <c r="M70">
        <v>104</v>
      </c>
      <c r="N70">
        <v>79351.89</v>
      </c>
      <c r="O70">
        <v>787050</v>
      </c>
      <c r="P70" t="s">
        <v>80</v>
      </c>
    </row>
    <row r="71" spans="1:16">
      <c r="A71" t="s">
        <v>217</v>
      </c>
      <c r="B71" t="s">
        <v>75</v>
      </c>
      <c r="C71" t="s">
        <v>1019</v>
      </c>
      <c r="D71">
        <v>20250630</v>
      </c>
      <c r="E71" t="s">
        <v>1</v>
      </c>
      <c r="F71">
        <v>20250630</v>
      </c>
      <c r="G71">
        <v>60</v>
      </c>
      <c r="H71" t="s">
        <v>2</v>
      </c>
      <c r="I71">
        <v>787050</v>
      </c>
      <c r="J71">
        <v>0</v>
      </c>
      <c r="K71">
        <v>1</v>
      </c>
      <c r="L71">
        <v>53</v>
      </c>
      <c r="M71">
        <v>104</v>
      </c>
      <c r="N71">
        <v>79351.89</v>
      </c>
      <c r="O71">
        <v>787050</v>
      </c>
      <c r="P71" t="s">
        <v>81</v>
      </c>
    </row>
    <row r="72" spans="1:16">
      <c r="A72" t="s">
        <v>218</v>
      </c>
      <c r="B72" t="s">
        <v>75</v>
      </c>
      <c r="C72" t="s">
        <v>1019</v>
      </c>
      <c r="D72">
        <v>20250630</v>
      </c>
      <c r="E72" t="s">
        <v>1</v>
      </c>
      <c r="F72">
        <v>20250630</v>
      </c>
      <c r="G72">
        <v>60</v>
      </c>
      <c r="H72" t="s">
        <v>2</v>
      </c>
      <c r="I72">
        <v>787050</v>
      </c>
      <c r="J72">
        <v>0</v>
      </c>
      <c r="K72">
        <v>1</v>
      </c>
      <c r="L72">
        <v>53</v>
      </c>
      <c r="M72">
        <v>104</v>
      </c>
      <c r="N72">
        <v>79351.89</v>
      </c>
      <c r="O72">
        <v>787050</v>
      </c>
      <c r="P72" t="s">
        <v>82</v>
      </c>
    </row>
    <row r="73" spans="1:16">
      <c r="A73" t="s">
        <v>219</v>
      </c>
      <c r="B73" t="s">
        <v>75</v>
      </c>
      <c r="C73" t="s">
        <v>1019</v>
      </c>
      <c r="D73">
        <v>20250630</v>
      </c>
      <c r="E73" t="s">
        <v>1</v>
      </c>
      <c r="F73">
        <v>20250630</v>
      </c>
      <c r="G73">
        <v>60</v>
      </c>
      <c r="H73" t="s">
        <v>2</v>
      </c>
      <c r="I73">
        <v>787050</v>
      </c>
      <c r="J73">
        <v>0</v>
      </c>
      <c r="K73">
        <v>1</v>
      </c>
      <c r="L73">
        <v>53</v>
      </c>
      <c r="M73">
        <v>104</v>
      </c>
      <c r="N73">
        <v>79351.89</v>
      </c>
      <c r="O73">
        <v>787050</v>
      </c>
      <c r="P73" t="s">
        <v>83</v>
      </c>
    </row>
    <row r="74" spans="1:16">
      <c r="A74" t="s">
        <v>220</v>
      </c>
      <c r="B74" t="s">
        <v>75</v>
      </c>
      <c r="C74" t="s">
        <v>1019</v>
      </c>
      <c r="D74">
        <v>20250630</v>
      </c>
      <c r="E74" t="s">
        <v>1</v>
      </c>
      <c r="F74">
        <v>20250630</v>
      </c>
      <c r="G74">
        <v>60</v>
      </c>
      <c r="H74" t="s">
        <v>2</v>
      </c>
      <c r="I74">
        <v>787050</v>
      </c>
      <c r="J74">
        <v>0</v>
      </c>
      <c r="K74">
        <v>1</v>
      </c>
      <c r="L74">
        <v>53</v>
      </c>
      <c r="M74">
        <v>104</v>
      </c>
      <c r="N74">
        <v>79351.89</v>
      </c>
      <c r="O74">
        <v>787050</v>
      </c>
      <c r="P74" t="s">
        <v>84</v>
      </c>
    </row>
    <row r="75" spans="1:16">
      <c r="A75" t="s">
        <v>221</v>
      </c>
      <c r="B75" t="s">
        <v>75</v>
      </c>
      <c r="C75" t="s">
        <v>1019</v>
      </c>
      <c r="D75">
        <v>20250630</v>
      </c>
      <c r="E75" t="s">
        <v>1</v>
      </c>
      <c r="F75">
        <v>20250630</v>
      </c>
      <c r="G75">
        <v>60</v>
      </c>
      <c r="H75" t="s">
        <v>2</v>
      </c>
      <c r="I75">
        <v>787050</v>
      </c>
      <c r="J75">
        <v>0</v>
      </c>
      <c r="K75">
        <v>1</v>
      </c>
      <c r="L75">
        <v>53</v>
      </c>
      <c r="M75">
        <v>104</v>
      </c>
      <c r="N75">
        <v>79351.89</v>
      </c>
      <c r="O75">
        <v>787050</v>
      </c>
      <c r="P75" t="s">
        <v>85</v>
      </c>
    </row>
    <row r="76" spans="1:16">
      <c r="A76" t="s">
        <v>222</v>
      </c>
      <c r="B76" t="s">
        <v>75</v>
      </c>
      <c r="C76" t="s">
        <v>1019</v>
      </c>
      <c r="D76">
        <v>20250630</v>
      </c>
      <c r="E76" t="s">
        <v>1</v>
      </c>
      <c r="F76">
        <v>20250630</v>
      </c>
      <c r="G76">
        <v>60</v>
      </c>
      <c r="H76" t="s">
        <v>2</v>
      </c>
      <c r="I76">
        <v>787050</v>
      </c>
      <c r="J76">
        <v>0</v>
      </c>
      <c r="K76">
        <v>1</v>
      </c>
      <c r="L76">
        <v>53</v>
      </c>
      <c r="M76">
        <v>104</v>
      </c>
      <c r="N76">
        <v>79351.89</v>
      </c>
      <c r="O76">
        <v>787050</v>
      </c>
      <c r="P76" t="s">
        <v>86</v>
      </c>
    </row>
    <row r="77" spans="1:16">
      <c r="A77" t="s">
        <v>223</v>
      </c>
      <c r="B77" t="s">
        <v>75</v>
      </c>
      <c r="C77" t="s">
        <v>1019</v>
      </c>
      <c r="D77">
        <v>20250630</v>
      </c>
      <c r="E77" t="s">
        <v>1</v>
      </c>
      <c r="F77">
        <v>20250630</v>
      </c>
      <c r="G77">
        <v>60</v>
      </c>
      <c r="H77" t="s">
        <v>2</v>
      </c>
      <c r="I77">
        <v>787050</v>
      </c>
      <c r="J77">
        <v>0</v>
      </c>
      <c r="K77">
        <v>1</v>
      </c>
      <c r="L77">
        <v>53</v>
      </c>
      <c r="M77">
        <v>104</v>
      </c>
      <c r="N77">
        <v>79351.89</v>
      </c>
      <c r="O77">
        <v>787050</v>
      </c>
      <c r="P77" t="s">
        <v>87</v>
      </c>
    </row>
    <row r="78" spans="1:16">
      <c r="A78" t="s">
        <v>224</v>
      </c>
      <c r="B78" t="s">
        <v>75</v>
      </c>
      <c r="C78" t="s">
        <v>1019</v>
      </c>
      <c r="D78">
        <v>20250630</v>
      </c>
      <c r="E78" t="s">
        <v>1</v>
      </c>
      <c r="F78">
        <v>20250630</v>
      </c>
      <c r="G78">
        <v>60</v>
      </c>
      <c r="H78" t="s">
        <v>2</v>
      </c>
      <c r="I78">
        <v>787050</v>
      </c>
      <c r="J78">
        <v>0</v>
      </c>
      <c r="K78">
        <v>1</v>
      </c>
      <c r="L78">
        <v>53</v>
      </c>
      <c r="M78">
        <v>104</v>
      </c>
      <c r="N78">
        <v>79351.89</v>
      </c>
      <c r="O78">
        <v>787050</v>
      </c>
      <c r="P78" t="s">
        <v>88</v>
      </c>
    </row>
    <row r="79" spans="1:16">
      <c r="A79" t="s">
        <v>225</v>
      </c>
      <c r="B79" t="s">
        <v>75</v>
      </c>
      <c r="C79" t="s">
        <v>1019</v>
      </c>
      <c r="D79">
        <v>20250630</v>
      </c>
      <c r="E79" t="s">
        <v>1</v>
      </c>
      <c r="F79">
        <v>20250630</v>
      </c>
      <c r="G79">
        <v>60</v>
      </c>
      <c r="H79" t="s">
        <v>2</v>
      </c>
      <c r="I79">
        <v>787050</v>
      </c>
      <c r="J79">
        <v>0</v>
      </c>
      <c r="K79">
        <v>1</v>
      </c>
      <c r="L79">
        <v>53</v>
      </c>
      <c r="M79">
        <v>104</v>
      </c>
      <c r="N79">
        <v>79351.89</v>
      </c>
      <c r="O79">
        <v>787050</v>
      </c>
      <c r="P79" t="s">
        <v>89</v>
      </c>
    </row>
    <row r="80" spans="1:16">
      <c r="A80" t="s">
        <v>226</v>
      </c>
      <c r="B80" t="s">
        <v>75</v>
      </c>
      <c r="C80" t="s">
        <v>1019</v>
      </c>
      <c r="D80">
        <v>20250630</v>
      </c>
      <c r="E80" t="s">
        <v>1</v>
      </c>
      <c r="F80">
        <v>20250630</v>
      </c>
      <c r="G80">
        <v>60</v>
      </c>
      <c r="H80" t="s">
        <v>2</v>
      </c>
      <c r="I80">
        <v>787050</v>
      </c>
      <c r="J80">
        <v>0</v>
      </c>
      <c r="K80">
        <v>1</v>
      </c>
      <c r="L80">
        <v>53</v>
      </c>
      <c r="M80">
        <v>104</v>
      </c>
      <c r="N80">
        <v>79351.89</v>
      </c>
      <c r="O80">
        <v>787050</v>
      </c>
      <c r="P80" t="s">
        <v>90</v>
      </c>
    </row>
    <row r="81" spans="1:16">
      <c r="A81" t="s">
        <v>227</v>
      </c>
      <c r="B81" t="s">
        <v>75</v>
      </c>
      <c r="C81" t="s">
        <v>1019</v>
      </c>
      <c r="D81">
        <v>20250630</v>
      </c>
      <c r="E81" t="s">
        <v>1</v>
      </c>
      <c r="F81">
        <v>20250630</v>
      </c>
      <c r="G81">
        <v>60</v>
      </c>
      <c r="H81" t="s">
        <v>2</v>
      </c>
      <c r="I81">
        <v>787050</v>
      </c>
      <c r="J81">
        <v>0</v>
      </c>
      <c r="K81">
        <v>1</v>
      </c>
      <c r="L81">
        <v>53</v>
      </c>
      <c r="M81">
        <v>104</v>
      </c>
      <c r="N81">
        <v>79351.89</v>
      </c>
      <c r="O81">
        <v>787050</v>
      </c>
      <c r="P81" t="s">
        <v>91</v>
      </c>
    </row>
    <row r="82" spans="1:16">
      <c r="A82" t="s">
        <v>228</v>
      </c>
      <c r="B82" t="s">
        <v>75</v>
      </c>
      <c r="C82" t="s">
        <v>1019</v>
      </c>
      <c r="D82">
        <v>20250630</v>
      </c>
      <c r="E82" t="s">
        <v>1</v>
      </c>
      <c r="F82">
        <v>20250630</v>
      </c>
      <c r="G82">
        <v>60</v>
      </c>
      <c r="H82" t="s">
        <v>2</v>
      </c>
      <c r="I82">
        <v>787050</v>
      </c>
      <c r="J82">
        <v>0</v>
      </c>
      <c r="K82">
        <v>1</v>
      </c>
      <c r="L82">
        <v>53</v>
      </c>
      <c r="M82">
        <v>104</v>
      </c>
      <c r="N82">
        <v>79351.89</v>
      </c>
      <c r="O82">
        <v>787050</v>
      </c>
      <c r="P82" t="s">
        <v>92</v>
      </c>
    </row>
    <row r="83" spans="1:16">
      <c r="A83" t="s">
        <v>229</v>
      </c>
      <c r="B83" t="s">
        <v>75</v>
      </c>
      <c r="C83" t="s">
        <v>1019</v>
      </c>
      <c r="D83">
        <v>20250630</v>
      </c>
      <c r="E83" t="s">
        <v>1</v>
      </c>
      <c r="F83">
        <v>20250630</v>
      </c>
      <c r="G83">
        <v>60</v>
      </c>
      <c r="H83" t="s">
        <v>2</v>
      </c>
      <c r="I83">
        <v>787050</v>
      </c>
      <c r="J83">
        <v>0</v>
      </c>
      <c r="K83">
        <v>1</v>
      </c>
      <c r="L83">
        <v>53</v>
      </c>
      <c r="M83">
        <v>104</v>
      </c>
      <c r="N83">
        <v>79351.89</v>
      </c>
      <c r="O83">
        <v>787050</v>
      </c>
      <c r="P83" t="s">
        <v>93</v>
      </c>
    </row>
    <row r="84" spans="1:16">
      <c r="A84" t="s">
        <v>230</v>
      </c>
      <c r="B84" t="s">
        <v>94</v>
      </c>
      <c r="C84" t="s">
        <v>1019</v>
      </c>
      <c r="D84">
        <v>20241230</v>
      </c>
      <c r="E84" t="s">
        <v>1</v>
      </c>
      <c r="F84">
        <v>20241230</v>
      </c>
      <c r="G84">
        <v>60</v>
      </c>
      <c r="H84" t="s">
        <v>2</v>
      </c>
      <c r="I84">
        <v>32762400</v>
      </c>
      <c r="J84">
        <v>0</v>
      </c>
      <c r="K84">
        <v>1</v>
      </c>
      <c r="L84">
        <v>47</v>
      </c>
      <c r="M84">
        <v>104</v>
      </c>
      <c r="N84">
        <v>6570432</v>
      </c>
      <c r="O84">
        <v>32762400</v>
      </c>
      <c r="P84" t="s">
        <v>95</v>
      </c>
    </row>
    <row r="85" spans="1:16">
      <c r="A85" t="s">
        <v>231</v>
      </c>
      <c r="B85" t="s">
        <v>1028</v>
      </c>
      <c r="C85" t="s">
        <v>1019</v>
      </c>
      <c r="D85">
        <v>20220607</v>
      </c>
      <c r="E85" t="s">
        <v>1</v>
      </c>
      <c r="F85">
        <v>20220607</v>
      </c>
      <c r="G85">
        <v>60</v>
      </c>
      <c r="H85" t="s">
        <v>2</v>
      </c>
      <c r="I85">
        <v>3516559</v>
      </c>
      <c r="J85">
        <v>0</v>
      </c>
      <c r="K85">
        <v>1</v>
      </c>
      <c r="L85">
        <v>17</v>
      </c>
      <c r="M85">
        <v>104</v>
      </c>
      <c r="N85">
        <v>2510726.7799999998</v>
      </c>
      <c r="O85">
        <v>3516559</v>
      </c>
    </row>
    <row r="86" spans="1:16">
      <c r="A86" t="s">
        <v>232</v>
      </c>
      <c r="B86" t="s">
        <v>1029</v>
      </c>
      <c r="C86" t="s">
        <v>1019</v>
      </c>
      <c r="D86">
        <v>20220607</v>
      </c>
      <c r="E86" t="s">
        <v>1</v>
      </c>
      <c r="F86">
        <v>20220607</v>
      </c>
      <c r="G86">
        <v>60</v>
      </c>
      <c r="H86" t="s">
        <v>2</v>
      </c>
      <c r="I86">
        <v>3516559</v>
      </c>
      <c r="J86">
        <v>0</v>
      </c>
      <c r="K86">
        <v>1</v>
      </c>
      <c r="L86">
        <v>17</v>
      </c>
      <c r="M86">
        <v>104</v>
      </c>
      <c r="N86">
        <v>2510726.7799999998</v>
      </c>
      <c r="O86">
        <v>3516559</v>
      </c>
    </row>
    <row r="87" spans="1:16">
      <c r="A87" t="s">
        <v>233</v>
      </c>
      <c r="B87" t="s">
        <v>98</v>
      </c>
      <c r="C87" t="s">
        <v>1019</v>
      </c>
      <c r="D87">
        <v>20250725</v>
      </c>
      <c r="E87" t="s">
        <v>1</v>
      </c>
      <c r="F87">
        <v>20250725</v>
      </c>
      <c r="G87">
        <v>60</v>
      </c>
      <c r="H87" t="s">
        <v>2</v>
      </c>
      <c r="I87">
        <v>16082000</v>
      </c>
      <c r="J87">
        <v>0</v>
      </c>
      <c r="K87">
        <v>1</v>
      </c>
      <c r="L87">
        <v>54</v>
      </c>
      <c r="M87">
        <v>104</v>
      </c>
      <c r="N87">
        <v>1401116.71</v>
      </c>
      <c r="O87">
        <v>16082000</v>
      </c>
      <c r="P87" t="s">
        <v>99</v>
      </c>
    </row>
    <row r="88" spans="1:16">
      <c r="A88" t="s">
        <v>234</v>
      </c>
      <c r="B88" t="s">
        <v>100</v>
      </c>
      <c r="C88" t="s">
        <v>1019</v>
      </c>
      <c r="D88">
        <v>20180101</v>
      </c>
      <c r="E88" t="s">
        <v>1</v>
      </c>
      <c r="F88">
        <v>20180101</v>
      </c>
      <c r="G88">
        <v>60</v>
      </c>
      <c r="H88" t="s">
        <v>2</v>
      </c>
      <c r="I88">
        <v>1337300</v>
      </c>
      <c r="J88">
        <v>0</v>
      </c>
      <c r="K88">
        <v>1</v>
      </c>
      <c r="L88">
        <v>0</v>
      </c>
      <c r="M88">
        <v>104</v>
      </c>
      <c r="N88">
        <v>1337300</v>
      </c>
      <c r="O88">
        <v>1337300</v>
      </c>
    </row>
    <row r="89" spans="1:16">
      <c r="A89" t="s">
        <v>235</v>
      </c>
      <c r="B89" t="s">
        <v>101</v>
      </c>
      <c r="C89" t="s">
        <v>1019</v>
      </c>
      <c r="D89">
        <v>20190926</v>
      </c>
      <c r="E89" t="s">
        <v>1</v>
      </c>
      <c r="F89">
        <v>20190926</v>
      </c>
      <c r="G89">
        <v>60</v>
      </c>
      <c r="H89" t="s">
        <v>2</v>
      </c>
      <c r="I89">
        <v>2492000</v>
      </c>
      <c r="J89">
        <v>0</v>
      </c>
      <c r="K89">
        <v>1</v>
      </c>
      <c r="L89">
        <v>0</v>
      </c>
      <c r="M89">
        <v>104</v>
      </c>
      <c r="N89">
        <v>2492000</v>
      </c>
      <c r="O89">
        <v>2492000</v>
      </c>
    </row>
    <row r="90" spans="1:16">
      <c r="A90" t="s">
        <v>236</v>
      </c>
      <c r="B90" t="s">
        <v>102</v>
      </c>
      <c r="C90" t="s">
        <v>1019</v>
      </c>
      <c r="D90">
        <v>20180101</v>
      </c>
      <c r="E90" t="s">
        <v>1</v>
      </c>
      <c r="F90">
        <v>20180101</v>
      </c>
      <c r="G90">
        <v>60</v>
      </c>
      <c r="H90" t="s">
        <v>2</v>
      </c>
      <c r="I90">
        <v>3918600</v>
      </c>
      <c r="J90">
        <v>0</v>
      </c>
      <c r="K90">
        <v>1</v>
      </c>
      <c r="L90">
        <v>0</v>
      </c>
      <c r="M90">
        <v>104</v>
      </c>
      <c r="N90">
        <v>3918600</v>
      </c>
      <c r="O90">
        <v>3918600</v>
      </c>
    </row>
    <row r="91" spans="1:16">
      <c r="A91" t="s">
        <v>237</v>
      </c>
      <c r="B91" t="s">
        <v>103</v>
      </c>
      <c r="C91" t="s">
        <v>1019</v>
      </c>
      <c r="D91">
        <v>20180101</v>
      </c>
      <c r="E91" t="s">
        <v>1</v>
      </c>
      <c r="F91">
        <v>20180101</v>
      </c>
      <c r="G91">
        <v>60</v>
      </c>
      <c r="H91" t="s">
        <v>2</v>
      </c>
      <c r="I91">
        <v>839700</v>
      </c>
      <c r="J91">
        <v>0</v>
      </c>
      <c r="K91">
        <v>1</v>
      </c>
      <c r="L91">
        <v>0</v>
      </c>
      <c r="M91">
        <v>104</v>
      </c>
      <c r="N91">
        <v>839700</v>
      </c>
      <c r="O91">
        <v>839700</v>
      </c>
    </row>
    <row r="92" spans="1:16">
      <c r="A92" t="s">
        <v>238</v>
      </c>
      <c r="B92" t="s">
        <v>103</v>
      </c>
      <c r="C92" t="s">
        <v>1019</v>
      </c>
      <c r="D92">
        <v>20180101</v>
      </c>
      <c r="E92" t="s">
        <v>1</v>
      </c>
      <c r="F92">
        <v>20180101</v>
      </c>
      <c r="G92">
        <v>60</v>
      </c>
      <c r="H92" t="s">
        <v>2</v>
      </c>
      <c r="I92">
        <v>839700</v>
      </c>
      <c r="J92">
        <v>0</v>
      </c>
      <c r="K92">
        <v>1</v>
      </c>
      <c r="L92">
        <v>0</v>
      </c>
      <c r="M92">
        <v>104</v>
      </c>
      <c r="N92">
        <v>839700</v>
      </c>
      <c r="O92">
        <v>839700</v>
      </c>
    </row>
    <row r="93" spans="1:16">
      <c r="A93" t="s">
        <v>239</v>
      </c>
      <c r="B93" t="s">
        <v>103</v>
      </c>
      <c r="C93" t="s">
        <v>1019</v>
      </c>
      <c r="D93">
        <v>20180101</v>
      </c>
      <c r="E93" t="s">
        <v>1</v>
      </c>
      <c r="F93">
        <v>20180101</v>
      </c>
      <c r="G93">
        <v>60</v>
      </c>
      <c r="H93" t="s">
        <v>2</v>
      </c>
      <c r="I93">
        <v>839700</v>
      </c>
      <c r="J93">
        <v>0</v>
      </c>
      <c r="K93">
        <v>1</v>
      </c>
      <c r="L93">
        <v>0</v>
      </c>
      <c r="M93">
        <v>104</v>
      </c>
      <c r="N93">
        <v>839700</v>
      </c>
      <c r="O93">
        <v>839700</v>
      </c>
    </row>
    <row r="94" spans="1:16">
      <c r="A94" t="s">
        <v>240</v>
      </c>
      <c r="B94" t="s">
        <v>103</v>
      </c>
      <c r="C94" t="s">
        <v>1019</v>
      </c>
      <c r="D94">
        <v>20180101</v>
      </c>
      <c r="E94" t="s">
        <v>1</v>
      </c>
      <c r="F94">
        <v>20180101</v>
      </c>
      <c r="G94">
        <v>60</v>
      </c>
      <c r="H94" t="s">
        <v>2</v>
      </c>
      <c r="I94">
        <v>839700</v>
      </c>
      <c r="J94">
        <v>0</v>
      </c>
      <c r="K94">
        <v>1</v>
      </c>
      <c r="L94">
        <v>0</v>
      </c>
      <c r="M94">
        <v>104</v>
      </c>
      <c r="N94">
        <v>839700</v>
      </c>
      <c r="O94">
        <v>839700</v>
      </c>
    </row>
    <row r="95" spans="1:16">
      <c r="A95" t="s">
        <v>241</v>
      </c>
      <c r="B95" t="s">
        <v>104</v>
      </c>
      <c r="C95" t="s">
        <v>1019</v>
      </c>
      <c r="D95">
        <v>20180101</v>
      </c>
      <c r="E95" t="s">
        <v>1</v>
      </c>
      <c r="F95">
        <v>20180101</v>
      </c>
      <c r="G95">
        <v>60</v>
      </c>
      <c r="H95" t="s">
        <v>2</v>
      </c>
      <c r="I95">
        <v>995200</v>
      </c>
      <c r="J95">
        <v>0</v>
      </c>
      <c r="K95">
        <v>1</v>
      </c>
      <c r="L95">
        <v>0</v>
      </c>
      <c r="M95">
        <v>104</v>
      </c>
      <c r="N95">
        <v>995200</v>
      </c>
      <c r="O95">
        <v>995200</v>
      </c>
    </row>
    <row r="96" spans="1:16">
      <c r="A96" t="s">
        <v>242</v>
      </c>
      <c r="B96" t="s">
        <v>105</v>
      </c>
      <c r="C96" t="s">
        <v>1019</v>
      </c>
      <c r="D96">
        <v>20201203</v>
      </c>
      <c r="E96" t="s">
        <v>1</v>
      </c>
      <c r="F96">
        <v>20201203</v>
      </c>
      <c r="G96">
        <v>60</v>
      </c>
      <c r="H96" t="s">
        <v>2</v>
      </c>
      <c r="I96">
        <v>1140000</v>
      </c>
      <c r="J96">
        <v>0</v>
      </c>
      <c r="K96">
        <v>1</v>
      </c>
      <c r="L96">
        <v>0</v>
      </c>
      <c r="M96">
        <v>104</v>
      </c>
      <c r="N96">
        <v>1140000</v>
      </c>
      <c r="O96">
        <v>1140000</v>
      </c>
    </row>
    <row r="97" spans="1:15">
      <c r="A97" t="s">
        <v>243</v>
      </c>
      <c r="B97" t="s">
        <v>106</v>
      </c>
      <c r="C97" t="s">
        <v>1019</v>
      </c>
      <c r="D97">
        <v>20201203</v>
      </c>
      <c r="E97" t="s">
        <v>1</v>
      </c>
      <c r="F97">
        <v>20201203</v>
      </c>
      <c r="G97">
        <v>60</v>
      </c>
      <c r="H97" t="s">
        <v>2</v>
      </c>
      <c r="I97">
        <v>1140000</v>
      </c>
      <c r="J97">
        <v>0</v>
      </c>
      <c r="K97">
        <v>1</v>
      </c>
      <c r="L97">
        <v>0</v>
      </c>
      <c r="M97">
        <v>104</v>
      </c>
      <c r="N97">
        <v>1140000</v>
      </c>
      <c r="O97">
        <v>1140000</v>
      </c>
    </row>
    <row r="98" spans="1:15">
      <c r="A98" t="s">
        <v>244</v>
      </c>
      <c r="B98" t="s">
        <v>106</v>
      </c>
      <c r="C98" t="s">
        <v>1019</v>
      </c>
      <c r="D98">
        <v>20201203</v>
      </c>
      <c r="E98" t="s">
        <v>1</v>
      </c>
      <c r="F98">
        <v>20201203</v>
      </c>
      <c r="G98">
        <v>60</v>
      </c>
      <c r="H98" t="s">
        <v>2</v>
      </c>
      <c r="I98">
        <v>1140000</v>
      </c>
      <c r="J98">
        <v>0</v>
      </c>
      <c r="K98">
        <v>1</v>
      </c>
      <c r="L98">
        <v>0</v>
      </c>
      <c r="M98">
        <v>104</v>
      </c>
      <c r="N98">
        <v>1140000</v>
      </c>
      <c r="O98">
        <v>1140000</v>
      </c>
    </row>
    <row r="99" spans="1:15">
      <c r="A99" t="s">
        <v>245</v>
      </c>
      <c r="B99" t="s">
        <v>107</v>
      </c>
      <c r="C99" t="s">
        <v>1019</v>
      </c>
      <c r="D99">
        <v>20180101</v>
      </c>
      <c r="E99" t="s">
        <v>1</v>
      </c>
      <c r="F99">
        <v>20180101</v>
      </c>
      <c r="G99">
        <v>60</v>
      </c>
      <c r="H99" t="s">
        <v>2</v>
      </c>
      <c r="I99">
        <v>933000</v>
      </c>
      <c r="J99">
        <v>0</v>
      </c>
      <c r="K99">
        <v>1</v>
      </c>
      <c r="L99">
        <v>0</v>
      </c>
      <c r="M99">
        <v>104</v>
      </c>
      <c r="N99">
        <v>933000</v>
      </c>
      <c r="O99">
        <v>933000</v>
      </c>
    </row>
    <row r="100" spans="1:15">
      <c r="A100" t="s">
        <v>246</v>
      </c>
      <c r="B100" t="s">
        <v>108</v>
      </c>
      <c r="C100" t="s">
        <v>1019</v>
      </c>
      <c r="D100">
        <v>20180101</v>
      </c>
      <c r="E100" t="s">
        <v>1</v>
      </c>
      <c r="F100">
        <v>20180101</v>
      </c>
      <c r="G100">
        <v>60</v>
      </c>
      <c r="H100" t="s">
        <v>2</v>
      </c>
      <c r="I100">
        <v>839700</v>
      </c>
      <c r="J100">
        <v>0</v>
      </c>
      <c r="K100">
        <v>1</v>
      </c>
      <c r="L100">
        <v>0</v>
      </c>
      <c r="M100">
        <v>104</v>
      </c>
      <c r="N100">
        <v>839700</v>
      </c>
      <c r="O100">
        <v>839700</v>
      </c>
    </row>
    <row r="101" spans="1:15">
      <c r="A101" t="s">
        <v>247</v>
      </c>
      <c r="B101" t="s">
        <v>109</v>
      </c>
      <c r="C101" t="s">
        <v>1019</v>
      </c>
      <c r="D101">
        <v>20180101</v>
      </c>
      <c r="E101" t="s">
        <v>1</v>
      </c>
      <c r="F101">
        <v>20180101</v>
      </c>
      <c r="G101">
        <v>60</v>
      </c>
      <c r="H101" t="s">
        <v>2</v>
      </c>
      <c r="I101">
        <v>622000</v>
      </c>
      <c r="J101">
        <v>0</v>
      </c>
      <c r="K101">
        <v>1</v>
      </c>
      <c r="L101">
        <v>0</v>
      </c>
      <c r="M101">
        <v>104</v>
      </c>
      <c r="N101">
        <v>622000</v>
      </c>
      <c r="O101">
        <v>622000</v>
      </c>
    </row>
    <row r="102" spans="1:15">
      <c r="A102" t="s">
        <v>248</v>
      </c>
      <c r="B102" t="s">
        <v>109</v>
      </c>
      <c r="C102" t="s">
        <v>1019</v>
      </c>
      <c r="D102">
        <v>20180101</v>
      </c>
      <c r="E102" t="s">
        <v>1</v>
      </c>
      <c r="F102">
        <v>20180101</v>
      </c>
      <c r="G102">
        <v>60</v>
      </c>
      <c r="H102" t="s">
        <v>2</v>
      </c>
      <c r="I102">
        <v>622000</v>
      </c>
      <c r="J102">
        <v>0</v>
      </c>
      <c r="K102">
        <v>1</v>
      </c>
      <c r="L102">
        <v>0</v>
      </c>
      <c r="M102">
        <v>104</v>
      </c>
      <c r="N102">
        <v>622000</v>
      </c>
      <c r="O102">
        <v>622000</v>
      </c>
    </row>
    <row r="103" spans="1:15">
      <c r="A103" t="s">
        <v>249</v>
      </c>
      <c r="B103" t="s">
        <v>109</v>
      </c>
      <c r="C103" t="s">
        <v>1019</v>
      </c>
      <c r="D103">
        <v>20180101</v>
      </c>
      <c r="E103" t="s">
        <v>1</v>
      </c>
      <c r="F103">
        <v>20180101</v>
      </c>
      <c r="G103">
        <v>60</v>
      </c>
      <c r="H103" t="s">
        <v>2</v>
      </c>
      <c r="I103">
        <v>622000</v>
      </c>
      <c r="J103">
        <v>0</v>
      </c>
      <c r="K103">
        <v>1</v>
      </c>
      <c r="L103">
        <v>0</v>
      </c>
      <c r="M103">
        <v>104</v>
      </c>
      <c r="N103">
        <v>622000</v>
      </c>
      <c r="O103">
        <v>622000</v>
      </c>
    </row>
    <row r="104" spans="1:15">
      <c r="A104" t="s">
        <v>250</v>
      </c>
      <c r="B104" t="s">
        <v>109</v>
      </c>
      <c r="C104" t="s">
        <v>1019</v>
      </c>
      <c r="D104">
        <v>20180101</v>
      </c>
      <c r="E104" t="s">
        <v>1</v>
      </c>
      <c r="F104">
        <v>20180101</v>
      </c>
      <c r="G104">
        <v>60</v>
      </c>
      <c r="H104" t="s">
        <v>2</v>
      </c>
      <c r="I104">
        <v>622000</v>
      </c>
      <c r="J104">
        <v>0</v>
      </c>
      <c r="K104">
        <v>1</v>
      </c>
      <c r="L104">
        <v>0</v>
      </c>
      <c r="M104">
        <v>104</v>
      </c>
      <c r="N104">
        <v>622000</v>
      </c>
      <c r="O104">
        <v>622000</v>
      </c>
    </row>
    <row r="105" spans="1:15">
      <c r="A105" t="s">
        <v>251</v>
      </c>
      <c r="B105" t="s">
        <v>109</v>
      </c>
      <c r="C105" t="s">
        <v>1019</v>
      </c>
      <c r="D105">
        <v>20180101</v>
      </c>
      <c r="E105" t="s">
        <v>1</v>
      </c>
      <c r="F105">
        <v>20180101</v>
      </c>
      <c r="G105">
        <v>60</v>
      </c>
      <c r="H105" t="s">
        <v>2</v>
      </c>
      <c r="I105">
        <v>622000</v>
      </c>
      <c r="J105">
        <v>0</v>
      </c>
      <c r="K105">
        <v>1</v>
      </c>
      <c r="L105">
        <v>0</v>
      </c>
      <c r="M105">
        <v>104</v>
      </c>
      <c r="N105">
        <v>622000</v>
      </c>
      <c r="O105">
        <v>622000</v>
      </c>
    </row>
    <row r="106" spans="1:15">
      <c r="A106" t="s">
        <v>252</v>
      </c>
      <c r="B106" t="s">
        <v>109</v>
      </c>
      <c r="C106" t="s">
        <v>1019</v>
      </c>
      <c r="D106">
        <v>20180101</v>
      </c>
      <c r="E106" t="s">
        <v>1</v>
      </c>
      <c r="F106">
        <v>20180101</v>
      </c>
      <c r="G106">
        <v>60</v>
      </c>
      <c r="H106" t="s">
        <v>2</v>
      </c>
      <c r="I106">
        <v>622000</v>
      </c>
      <c r="J106">
        <v>0</v>
      </c>
      <c r="K106">
        <v>1</v>
      </c>
      <c r="L106">
        <v>0</v>
      </c>
      <c r="M106">
        <v>104</v>
      </c>
      <c r="N106">
        <v>622000</v>
      </c>
      <c r="O106">
        <v>622000</v>
      </c>
    </row>
    <row r="107" spans="1:15">
      <c r="A107" t="s">
        <v>253</v>
      </c>
      <c r="B107" t="s">
        <v>109</v>
      </c>
      <c r="C107" t="s">
        <v>1019</v>
      </c>
      <c r="D107">
        <v>20180101</v>
      </c>
      <c r="E107" t="s">
        <v>1</v>
      </c>
      <c r="F107">
        <v>20180101</v>
      </c>
      <c r="G107">
        <v>60</v>
      </c>
      <c r="H107" t="s">
        <v>2</v>
      </c>
      <c r="I107">
        <v>622000</v>
      </c>
      <c r="J107">
        <v>0</v>
      </c>
      <c r="K107">
        <v>1</v>
      </c>
      <c r="L107">
        <v>0</v>
      </c>
      <c r="M107">
        <v>104</v>
      </c>
      <c r="N107">
        <v>622000</v>
      </c>
      <c r="O107">
        <v>622000</v>
      </c>
    </row>
    <row r="108" spans="1:15">
      <c r="A108" t="s">
        <v>254</v>
      </c>
      <c r="B108" t="s">
        <v>109</v>
      </c>
      <c r="C108" t="s">
        <v>1019</v>
      </c>
      <c r="D108">
        <v>20180101</v>
      </c>
      <c r="E108" t="s">
        <v>1</v>
      </c>
      <c r="F108">
        <v>20180101</v>
      </c>
      <c r="G108">
        <v>60</v>
      </c>
      <c r="H108" t="s">
        <v>2</v>
      </c>
      <c r="I108">
        <v>622000</v>
      </c>
      <c r="J108">
        <v>0</v>
      </c>
      <c r="K108">
        <v>1</v>
      </c>
      <c r="L108">
        <v>0</v>
      </c>
      <c r="M108">
        <v>104</v>
      </c>
      <c r="N108">
        <v>622000</v>
      </c>
      <c r="O108">
        <v>622000</v>
      </c>
    </row>
    <row r="109" spans="1:15">
      <c r="A109" t="s">
        <v>255</v>
      </c>
      <c r="B109" t="s">
        <v>109</v>
      </c>
      <c r="C109" t="s">
        <v>1019</v>
      </c>
      <c r="D109">
        <v>20180101</v>
      </c>
      <c r="E109" t="s">
        <v>1</v>
      </c>
      <c r="F109">
        <v>20180101</v>
      </c>
      <c r="G109">
        <v>60</v>
      </c>
      <c r="H109" t="s">
        <v>2</v>
      </c>
      <c r="I109">
        <v>622000</v>
      </c>
      <c r="J109">
        <v>0</v>
      </c>
      <c r="K109">
        <v>1</v>
      </c>
      <c r="L109">
        <v>0</v>
      </c>
      <c r="M109">
        <v>104</v>
      </c>
      <c r="N109">
        <v>622000</v>
      </c>
      <c r="O109">
        <v>622000</v>
      </c>
    </row>
    <row r="110" spans="1:15">
      <c r="A110" t="s">
        <v>256</v>
      </c>
      <c r="B110" t="s">
        <v>109</v>
      </c>
      <c r="C110" t="s">
        <v>1019</v>
      </c>
      <c r="D110">
        <v>20180101</v>
      </c>
      <c r="E110" t="s">
        <v>1</v>
      </c>
      <c r="F110">
        <v>20180101</v>
      </c>
      <c r="G110">
        <v>60</v>
      </c>
      <c r="H110" t="s">
        <v>2</v>
      </c>
      <c r="I110">
        <v>622000</v>
      </c>
      <c r="J110">
        <v>0</v>
      </c>
      <c r="K110">
        <v>1</v>
      </c>
      <c r="L110">
        <v>0</v>
      </c>
      <c r="M110">
        <v>104</v>
      </c>
      <c r="N110">
        <v>622000</v>
      </c>
      <c r="O110">
        <v>622000</v>
      </c>
    </row>
    <row r="111" spans="1:15">
      <c r="A111" t="s">
        <v>257</v>
      </c>
      <c r="B111" t="s">
        <v>109</v>
      </c>
      <c r="C111" t="s">
        <v>1019</v>
      </c>
      <c r="D111">
        <v>20180101</v>
      </c>
      <c r="E111" t="s">
        <v>1</v>
      </c>
      <c r="F111">
        <v>20180101</v>
      </c>
      <c r="G111">
        <v>60</v>
      </c>
      <c r="H111" t="s">
        <v>2</v>
      </c>
      <c r="I111">
        <v>622000</v>
      </c>
      <c r="J111">
        <v>0</v>
      </c>
      <c r="K111">
        <v>1</v>
      </c>
      <c r="L111">
        <v>0</v>
      </c>
      <c r="M111">
        <v>104</v>
      </c>
      <c r="N111">
        <v>622000</v>
      </c>
      <c r="O111">
        <v>622000</v>
      </c>
    </row>
    <row r="112" spans="1:15">
      <c r="A112" t="s">
        <v>258</v>
      </c>
      <c r="B112" t="s">
        <v>109</v>
      </c>
      <c r="C112" t="s">
        <v>1019</v>
      </c>
      <c r="D112">
        <v>20180101</v>
      </c>
      <c r="E112" t="s">
        <v>1</v>
      </c>
      <c r="F112">
        <v>20180101</v>
      </c>
      <c r="G112">
        <v>60</v>
      </c>
      <c r="H112" t="s">
        <v>2</v>
      </c>
      <c r="I112">
        <v>622000</v>
      </c>
      <c r="J112">
        <v>0</v>
      </c>
      <c r="K112">
        <v>1</v>
      </c>
      <c r="L112">
        <v>0</v>
      </c>
      <c r="M112">
        <v>104</v>
      </c>
      <c r="N112">
        <v>622000</v>
      </c>
      <c r="O112">
        <v>622000</v>
      </c>
    </row>
    <row r="113" spans="1:15">
      <c r="A113" t="s">
        <v>259</v>
      </c>
      <c r="B113" t="s">
        <v>109</v>
      </c>
      <c r="C113" t="s">
        <v>1019</v>
      </c>
      <c r="D113">
        <v>20180101</v>
      </c>
      <c r="E113" t="s">
        <v>1</v>
      </c>
      <c r="F113">
        <v>20180101</v>
      </c>
      <c r="G113">
        <v>60</v>
      </c>
      <c r="H113" t="s">
        <v>2</v>
      </c>
      <c r="I113">
        <v>622000</v>
      </c>
      <c r="J113">
        <v>0</v>
      </c>
      <c r="K113">
        <v>1</v>
      </c>
      <c r="L113">
        <v>0</v>
      </c>
      <c r="M113">
        <v>104</v>
      </c>
      <c r="N113">
        <v>622000</v>
      </c>
      <c r="O113">
        <v>622000</v>
      </c>
    </row>
    <row r="114" spans="1:15">
      <c r="A114" t="s">
        <v>260</v>
      </c>
      <c r="B114" t="s">
        <v>109</v>
      </c>
      <c r="C114" t="s">
        <v>1019</v>
      </c>
      <c r="D114">
        <v>20180101</v>
      </c>
      <c r="E114" t="s">
        <v>1</v>
      </c>
      <c r="F114">
        <v>20180101</v>
      </c>
      <c r="G114">
        <v>60</v>
      </c>
      <c r="H114" t="s">
        <v>2</v>
      </c>
      <c r="I114">
        <v>622000</v>
      </c>
      <c r="J114">
        <v>0</v>
      </c>
      <c r="K114">
        <v>1</v>
      </c>
      <c r="L114">
        <v>0</v>
      </c>
      <c r="M114">
        <v>104</v>
      </c>
      <c r="N114">
        <v>622000</v>
      </c>
      <c r="O114">
        <v>622000</v>
      </c>
    </row>
    <row r="115" spans="1:15">
      <c r="A115" t="s">
        <v>261</v>
      </c>
      <c r="B115" t="s">
        <v>109</v>
      </c>
      <c r="C115" t="s">
        <v>1019</v>
      </c>
      <c r="D115">
        <v>20180101</v>
      </c>
      <c r="E115" t="s">
        <v>1</v>
      </c>
      <c r="F115">
        <v>20180101</v>
      </c>
      <c r="G115">
        <v>60</v>
      </c>
      <c r="H115" t="s">
        <v>2</v>
      </c>
      <c r="I115">
        <v>622000</v>
      </c>
      <c r="J115">
        <v>0</v>
      </c>
      <c r="K115">
        <v>1</v>
      </c>
      <c r="L115">
        <v>0</v>
      </c>
      <c r="M115">
        <v>104</v>
      </c>
      <c r="N115">
        <v>622000</v>
      </c>
      <c r="O115">
        <v>622000</v>
      </c>
    </row>
    <row r="116" spans="1:15">
      <c r="A116" t="s">
        <v>262</v>
      </c>
      <c r="B116" t="s">
        <v>109</v>
      </c>
      <c r="C116" t="s">
        <v>1019</v>
      </c>
      <c r="D116">
        <v>20180101</v>
      </c>
      <c r="E116" t="s">
        <v>1</v>
      </c>
      <c r="F116">
        <v>20180101</v>
      </c>
      <c r="G116">
        <v>60</v>
      </c>
      <c r="H116" t="s">
        <v>2</v>
      </c>
      <c r="I116">
        <v>622000</v>
      </c>
      <c r="J116">
        <v>0</v>
      </c>
      <c r="K116">
        <v>1</v>
      </c>
      <c r="L116">
        <v>0</v>
      </c>
      <c r="M116">
        <v>104</v>
      </c>
      <c r="N116">
        <v>622000</v>
      </c>
      <c r="O116">
        <v>622000</v>
      </c>
    </row>
    <row r="117" spans="1:15">
      <c r="A117" t="s">
        <v>263</v>
      </c>
      <c r="B117" t="s">
        <v>109</v>
      </c>
      <c r="C117" t="s">
        <v>1019</v>
      </c>
      <c r="D117">
        <v>20180101</v>
      </c>
      <c r="E117" t="s">
        <v>1</v>
      </c>
      <c r="F117">
        <v>20180101</v>
      </c>
      <c r="G117">
        <v>60</v>
      </c>
      <c r="H117" t="s">
        <v>2</v>
      </c>
      <c r="I117">
        <v>622000</v>
      </c>
      <c r="J117">
        <v>0</v>
      </c>
      <c r="K117">
        <v>1</v>
      </c>
      <c r="L117">
        <v>0</v>
      </c>
      <c r="M117">
        <v>104</v>
      </c>
      <c r="N117">
        <v>622000</v>
      </c>
      <c r="O117">
        <v>622000</v>
      </c>
    </row>
    <row r="118" spans="1:15">
      <c r="A118" t="s">
        <v>264</v>
      </c>
      <c r="B118" t="s">
        <v>110</v>
      </c>
      <c r="C118" t="s">
        <v>1019</v>
      </c>
      <c r="D118">
        <v>20180101</v>
      </c>
      <c r="E118" t="s">
        <v>1</v>
      </c>
      <c r="F118">
        <v>20180101</v>
      </c>
      <c r="G118">
        <v>60</v>
      </c>
      <c r="H118" t="s">
        <v>2</v>
      </c>
      <c r="I118">
        <v>622000</v>
      </c>
      <c r="J118">
        <v>0</v>
      </c>
      <c r="K118">
        <v>1</v>
      </c>
      <c r="L118">
        <v>0</v>
      </c>
      <c r="M118">
        <v>104</v>
      </c>
      <c r="N118">
        <v>622000</v>
      </c>
      <c r="O118">
        <v>622000</v>
      </c>
    </row>
    <row r="119" spans="1:15">
      <c r="A119" t="s">
        <v>265</v>
      </c>
      <c r="B119" t="s">
        <v>110</v>
      </c>
      <c r="C119" t="s">
        <v>1019</v>
      </c>
      <c r="D119">
        <v>20180101</v>
      </c>
      <c r="E119" t="s">
        <v>1</v>
      </c>
      <c r="F119">
        <v>20180101</v>
      </c>
      <c r="G119">
        <v>60</v>
      </c>
      <c r="H119" t="s">
        <v>2</v>
      </c>
      <c r="I119">
        <v>622000</v>
      </c>
      <c r="J119">
        <v>0</v>
      </c>
      <c r="K119">
        <v>1</v>
      </c>
      <c r="L119">
        <v>0</v>
      </c>
      <c r="M119">
        <v>104</v>
      </c>
      <c r="N119">
        <v>622000</v>
      </c>
      <c r="O119">
        <v>622000</v>
      </c>
    </row>
    <row r="120" spans="1:15">
      <c r="A120" t="s">
        <v>266</v>
      </c>
      <c r="B120" t="s">
        <v>110</v>
      </c>
      <c r="C120" t="s">
        <v>1019</v>
      </c>
      <c r="D120">
        <v>20180101</v>
      </c>
      <c r="E120" t="s">
        <v>1</v>
      </c>
      <c r="F120">
        <v>20180101</v>
      </c>
      <c r="G120">
        <v>60</v>
      </c>
      <c r="H120" t="s">
        <v>2</v>
      </c>
      <c r="I120">
        <v>622000</v>
      </c>
      <c r="J120">
        <v>0</v>
      </c>
      <c r="K120">
        <v>1</v>
      </c>
      <c r="L120">
        <v>0</v>
      </c>
      <c r="M120">
        <v>104</v>
      </c>
      <c r="N120">
        <v>622000</v>
      </c>
      <c r="O120">
        <v>622000</v>
      </c>
    </row>
    <row r="121" spans="1:15">
      <c r="A121" t="s">
        <v>267</v>
      </c>
      <c r="B121" t="s">
        <v>110</v>
      </c>
      <c r="C121" t="s">
        <v>1019</v>
      </c>
      <c r="D121">
        <v>20180101</v>
      </c>
      <c r="E121" t="s">
        <v>1</v>
      </c>
      <c r="F121">
        <v>20180101</v>
      </c>
      <c r="G121">
        <v>60</v>
      </c>
      <c r="H121" t="s">
        <v>2</v>
      </c>
      <c r="I121">
        <v>622000</v>
      </c>
      <c r="J121">
        <v>0</v>
      </c>
      <c r="K121">
        <v>1</v>
      </c>
      <c r="L121">
        <v>0</v>
      </c>
      <c r="M121">
        <v>104</v>
      </c>
      <c r="N121">
        <v>622000</v>
      </c>
      <c r="O121">
        <v>622000</v>
      </c>
    </row>
    <row r="122" spans="1:15">
      <c r="A122" t="s">
        <v>268</v>
      </c>
      <c r="B122" t="s">
        <v>110</v>
      </c>
      <c r="C122" t="s">
        <v>1019</v>
      </c>
      <c r="D122">
        <v>20180101</v>
      </c>
      <c r="E122" t="s">
        <v>1</v>
      </c>
      <c r="F122">
        <v>20180101</v>
      </c>
      <c r="G122">
        <v>60</v>
      </c>
      <c r="H122" t="s">
        <v>2</v>
      </c>
      <c r="I122">
        <v>622000</v>
      </c>
      <c r="J122">
        <v>0</v>
      </c>
      <c r="K122">
        <v>1</v>
      </c>
      <c r="L122">
        <v>0</v>
      </c>
      <c r="M122">
        <v>104</v>
      </c>
      <c r="N122">
        <v>622000</v>
      </c>
      <c r="O122">
        <v>622000</v>
      </c>
    </row>
    <row r="123" spans="1:15">
      <c r="A123" t="s">
        <v>269</v>
      </c>
      <c r="B123" t="s">
        <v>110</v>
      </c>
      <c r="C123" t="s">
        <v>1019</v>
      </c>
      <c r="D123">
        <v>20180101</v>
      </c>
      <c r="E123" t="s">
        <v>1</v>
      </c>
      <c r="F123">
        <v>20180101</v>
      </c>
      <c r="G123">
        <v>60</v>
      </c>
      <c r="H123" t="s">
        <v>2</v>
      </c>
      <c r="I123">
        <v>622000</v>
      </c>
      <c r="J123">
        <v>0</v>
      </c>
      <c r="K123">
        <v>1</v>
      </c>
      <c r="L123">
        <v>0</v>
      </c>
      <c r="M123">
        <v>104</v>
      </c>
      <c r="N123">
        <v>622000</v>
      </c>
      <c r="O123">
        <v>622000</v>
      </c>
    </row>
    <row r="124" spans="1:15">
      <c r="A124" t="s">
        <v>270</v>
      </c>
      <c r="B124" t="s">
        <v>110</v>
      </c>
      <c r="C124" t="s">
        <v>1019</v>
      </c>
      <c r="D124">
        <v>20180101</v>
      </c>
      <c r="E124" t="s">
        <v>1</v>
      </c>
      <c r="F124">
        <v>20180101</v>
      </c>
      <c r="G124">
        <v>60</v>
      </c>
      <c r="H124" t="s">
        <v>2</v>
      </c>
      <c r="I124">
        <v>622000</v>
      </c>
      <c r="J124">
        <v>0</v>
      </c>
      <c r="K124">
        <v>1</v>
      </c>
      <c r="L124">
        <v>0</v>
      </c>
      <c r="M124">
        <v>104</v>
      </c>
      <c r="N124">
        <v>622000</v>
      </c>
      <c r="O124">
        <v>622000</v>
      </c>
    </row>
    <row r="125" spans="1:15">
      <c r="A125" t="s">
        <v>271</v>
      </c>
      <c r="B125" t="s">
        <v>110</v>
      </c>
      <c r="C125" t="s">
        <v>1019</v>
      </c>
      <c r="D125">
        <v>20180101</v>
      </c>
      <c r="E125" t="s">
        <v>1</v>
      </c>
      <c r="F125">
        <v>20180101</v>
      </c>
      <c r="G125">
        <v>60</v>
      </c>
      <c r="H125" t="s">
        <v>2</v>
      </c>
      <c r="I125">
        <v>622000</v>
      </c>
      <c r="J125">
        <v>0</v>
      </c>
      <c r="K125">
        <v>1</v>
      </c>
      <c r="L125">
        <v>0</v>
      </c>
      <c r="M125">
        <v>104</v>
      </c>
      <c r="N125">
        <v>622000</v>
      </c>
      <c r="O125">
        <v>622000</v>
      </c>
    </row>
    <row r="126" spans="1:15">
      <c r="A126" t="s">
        <v>272</v>
      </c>
      <c r="B126" t="s">
        <v>110</v>
      </c>
      <c r="C126" t="s">
        <v>1019</v>
      </c>
      <c r="D126">
        <v>20180101</v>
      </c>
      <c r="E126" t="s">
        <v>1</v>
      </c>
      <c r="F126">
        <v>20180101</v>
      </c>
      <c r="G126">
        <v>60</v>
      </c>
      <c r="H126" t="s">
        <v>2</v>
      </c>
      <c r="I126">
        <v>622000</v>
      </c>
      <c r="J126">
        <v>0</v>
      </c>
      <c r="K126">
        <v>1</v>
      </c>
      <c r="L126">
        <v>0</v>
      </c>
      <c r="M126">
        <v>104</v>
      </c>
      <c r="N126">
        <v>622000</v>
      </c>
      <c r="O126">
        <v>622000</v>
      </c>
    </row>
    <row r="127" spans="1:15">
      <c r="A127" t="s">
        <v>273</v>
      </c>
      <c r="B127" t="s">
        <v>111</v>
      </c>
      <c r="C127" t="s">
        <v>1019</v>
      </c>
      <c r="D127">
        <v>20180101</v>
      </c>
      <c r="E127" t="s">
        <v>1</v>
      </c>
      <c r="F127">
        <v>20180101</v>
      </c>
      <c r="G127">
        <v>60</v>
      </c>
      <c r="H127" t="s">
        <v>2</v>
      </c>
      <c r="I127">
        <v>14181600</v>
      </c>
      <c r="J127">
        <v>0</v>
      </c>
      <c r="K127">
        <v>1</v>
      </c>
      <c r="L127">
        <v>0</v>
      </c>
      <c r="M127">
        <v>104</v>
      </c>
      <c r="N127">
        <v>14181600</v>
      </c>
      <c r="O127">
        <v>14181600</v>
      </c>
    </row>
    <row r="128" spans="1:15">
      <c r="A128" t="s">
        <v>274</v>
      </c>
      <c r="B128" t="s">
        <v>112</v>
      </c>
      <c r="C128" t="s">
        <v>1019</v>
      </c>
      <c r="D128">
        <v>20180101</v>
      </c>
      <c r="E128" t="s">
        <v>1</v>
      </c>
      <c r="F128">
        <v>20180101</v>
      </c>
      <c r="G128">
        <v>60</v>
      </c>
      <c r="H128" t="s">
        <v>2</v>
      </c>
      <c r="I128">
        <v>17727000</v>
      </c>
      <c r="J128">
        <v>0</v>
      </c>
      <c r="K128">
        <v>1</v>
      </c>
      <c r="L128">
        <v>0</v>
      </c>
      <c r="M128">
        <v>104</v>
      </c>
      <c r="N128">
        <v>17727000</v>
      </c>
      <c r="O128">
        <v>17727000</v>
      </c>
    </row>
    <row r="129" spans="1:16">
      <c r="A129" t="s">
        <v>275</v>
      </c>
      <c r="B129" t="s">
        <v>113</v>
      </c>
      <c r="C129" t="s">
        <v>1019</v>
      </c>
      <c r="D129">
        <v>20180101</v>
      </c>
      <c r="E129" t="s">
        <v>1</v>
      </c>
      <c r="F129">
        <v>20180101</v>
      </c>
      <c r="G129">
        <v>60</v>
      </c>
      <c r="H129" t="s">
        <v>2</v>
      </c>
      <c r="I129">
        <v>562910</v>
      </c>
      <c r="J129">
        <v>0</v>
      </c>
      <c r="K129">
        <v>1</v>
      </c>
      <c r="L129">
        <v>0</v>
      </c>
      <c r="M129">
        <v>104</v>
      </c>
      <c r="N129">
        <v>562910</v>
      </c>
      <c r="O129">
        <v>562910</v>
      </c>
    </row>
    <row r="130" spans="1:16">
      <c r="A130" t="s">
        <v>276</v>
      </c>
      <c r="B130" t="s">
        <v>114</v>
      </c>
      <c r="C130" t="s">
        <v>1019</v>
      </c>
      <c r="D130">
        <v>20220405</v>
      </c>
      <c r="E130" t="s">
        <v>1</v>
      </c>
      <c r="F130">
        <v>20220405</v>
      </c>
      <c r="G130">
        <v>60</v>
      </c>
      <c r="H130" t="s">
        <v>2</v>
      </c>
      <c r="I130">
        <v>5744692.7999999998</v>
      </c>
      <c r="J130">
        <v>0</v>
      </c>
      <c r="K130">
        <v>1</v>
      </c>
      <c r="L130">
        <v>15</v>
      </c>
      <c r="M130">
        <v>104</v>
      </c>
      <c r="N130">
        <v>4299863.21</v>
      </c>
      <c r="O130">
        <v>5744692.7999999998</v>
      </c>
    </row>
    <row r="131" spans="1:16">
      <c r="A131" t="s">
        <v>277</v>
      </c>
      <c r="B131" t="s">
        <v>115</v>
      </c>
      <c r="C131" t="s">
        <v>1019</v>
      </c>
      <c r="D131">
        <v>20220615</v>
      </c>
      <c r="E131" t="s">
        <v>1</v>
      </c>
      <c r="F131">
        <v>20220615</v>
      </c>
      <c r="G131">
        <v>60</v>
      </c>
      <c r="H131" t="s">
        <v>2</v>
      </c>
      <c r="I131">
        <v>15308612.800000001</v>
      </c>
      <c r="J131">
        <v>0</v>
      </c>
      <c r="K131">
        <v>1</v>
      </c>
      <c r="L131">
        <v>17</v>
      </c>
      <c r="M131">
        <v>104</v>
      </c>
      <c r="N131">
        <v>10862823.880000001</v>
      </c>
      <c r="O131">
        <v>15308612.800000001</v>
      </c>
    </row>
    <row r="132" spans="1:16">
      <c r="A132" t="s">
        <v>278</v>
      </c>
      <c r="B132" t="s">
        <v>116</v>
      </c>
      <c r="C132" t="s">
        <v>1019</v>
      </c>
      <c r="D132">
        <v>20180101</v>
      </c>
      <c r="E132" t="s">
        <v>1</v>
      </c>
      <c r="F132">
        <v>20180101</v>
      </c>
      <c r="G132">
        <v>60</v>
      </c>
      <c r="H132" t="s">
        <v>2</v>
      </c>
      <c r="I132">
        <v>562910</v>
      </c>
      <c r="J132">
        <v>0</v>
      </c>
      <c r="K132">
        <v>1</v>
      </c>
      <c r="L132">
        <v>0</v>
      </c>
      <c r="M132">
        <v>104</v>
      </c>
      <c r="N132">
        <v>562910</v>
      </c>
      <c r="O132">
        <v>562910</v>
      </c>
    </row>
    <row r="133" spans="1:16">
      <c r="A133" t="s">
        <v>279</v>
      </c>
      <c r="B133" t="s">
        <v>117</v>
      </c>
      <c r="C133" t="s">
        <v>1019</v>
      </c>
      <c r="D133">
        <v>20180101</v>
      </c>
      <c r="E133" t="s">
        <v>1</v>
      </c>
      <c r="F133">
        <v>20180101</v>
      </c>
      <c r="G133">
        <v>60</v>
      </c>
      <c r="H133" t="s">
        <v>2</v>
      </c>
      <c r="I133">
        <v>1212900</v>
      </c>
      <c r="J133">
        <v>0</v>
      </c>
      <c r="K133">
        <v>1</v>
      </c>
      <c r="L133">
        <v>0</v>
      </c>
      <c r="M133">
        <v>104</v>
      </c>
      <c r="N133">
        <v>1212900</v>
      </c>
      <c r="O133">
        <v>1212900</v>
      </c>
    </row>
    <row r="134" spans="1:16">
      <c r="A134" t="s">
        <v>280</v>
      </c>
      <c r="B134" t="s">
        <v>118</v>
      </c>
      <c r="C134" t="s">
        <v>1019</v>
      </c>
      <c r="D134">
        <v>20180101</v>
      </c>
      <c r="E134" t="s">
        <v>1</v>
      </c>
      <c r="F134">
        <v>20180101</v>
      </c>
      <c r="G134">
        <v>60</v>
      </c>
      <c r="H134" t="s">
        <v>2</v>
      </c>
      <c r="I134">
        <v>1769590</v>
      </c>
      <c r="J134">
        <v>0</v>
      </c>
      <c r="K134">
        <v>1</v>
      </c>
      <c r="L134">
        <v>0</v>
      </c>
      <c r="M134">
        <v>104</v>
      </c>
      <c r="N134">
        <v>1769590</v>
      </c>
      <c r="O134">
        <v>1769590</v>
      </c>
    </row>
    <row r="135" spans="1:16">
      <c r="A135" t="s">
        <v>281</v>
      </c>
      <c r="B135" t="s">
        <v>119</v>
      </c>
      <c r="C135" t="s">
        <v>1019</v>
      </c>
      <c r="D135">
        <v>20250825</v>
      </c>
      <c r="E135" t="s">
        <v>1</v>
      </c>
      <c r="F135">
        <v>20250825</v>
      </c>
      <c r="G135">
        <v>60</v>
      </c>
      <c r="H135" t="s">
        <v>2</v>
      </c>
      <c r="I135">
        <v>3692150</v>
      </c>
      <c r="J135">
        <v>0</v>
      </c>
      <c r="K135">
        <v>1</v>
      </c>
      <c r="L135">
        <v>55</v>
      </c>
      <c r="M135">
        <v>104</v>
      </c>
      <c r="N135">
        <v>258956.27</v>
      </c>
      <c r="O135">
        <v>3692150</v>
      </c>
      <c r="P135" t="s">
        <v>120</v>
      </c>
    </row>
    <row r="136" spans="1:16">
      <c r="A136" t="s">
        <v>282</v>
      </c>
      <c r="B136" t="s">
        <v>119</v>
      </c>
      <c r="C136" t="s">
        <v>1019</v>
      </c>
      <c r="D136">
        <v>20250825</v>
      </c>
      <c r="E136" t="s">
        <v>1</v>
      </c>
      <c r="F136">
        <v>20250825</v>
      </c>
      <c r="G136">
        <v>60</v>
      </c>
      <c r="H136" t="s">
        <v>2</v>
      </c>
      <c r="I136">
        <v>3692150</v>
      </c>
      <c r="J136">
        <v>0</v>
      </c>
      <c r="K136">
        <v>1</v>
      </c>
      <c r="L136">
        <v>55</v>
      </c>
      <c r="M136">
        <v>104</v>
      </c>
      <c r="N136">
        <v>258956.27</v>
      </c>
      <c r="O136">
        <v>3692150</v>
      </c>
      <c r="P136" t="s">
        <v>121</v>
      </c>
    </row>
    <row r="137" spans="1:16">
      <c r="A137" t="s">
        <v>283</v>
      </c>
      <c r="B137" t="s">
        <v>122</v>
      </c>
      <c r="C137" t="s">
        <v>1019</v>
      </c>
      <c r="D137">
        <v>20180101</v>
      </c>
      <c r="E137" t="s">
        <v>1</v>
      </c>
      <c r="F137">
        <v>20180101</v>
      </c>
      <c r="G137">
        <v>60</v>
      </c>
      <c r="H137" t="s">
        <v>2</v>
      </c>
      <c r="I137">
        <v>1492800</v>
      </c>
      <c r="J137">
        <v>0</v>
      </c>
      <c r="K137">
        <v>1</v>
      </c>
      <c r="L137">
        <v>0</v>
      </c>
      <c r="M137">
        <v>104</v>
      </c>
      <c r="N137">
        <v>1492800</v>
      </c>
      <c r="O137">
        <v>1492800</v>
      </c>
    </row>
    <row r="138" spans="1:16">
      <c r="A138" t="s">
        <v>284</v>
      </c>
      <c r="B138" t="s">
        <v>123</v>
      </c>
      <c r="C138" t="s">
        <v>1019</v>
      </c>
      <c r="D138">
        <v>20180101</v>
      </c>
      <c r="E138" t="s">
        <v>1</v>
      </c>
      <c r="F138">
        <v>20180101</v>
      </c>
      <c r="G138">
        <v>60</v>
      </c>
      <c r="H138" t="s">
        <v>2</v>
      </c>
      <c r="I138">
        <v>1492800</v>
      </c>
      <c r="J138">
        <v>0</v>
      </c>
      <c r="K138">
        <v>1</v>
      </c>
      <c r="L138">
        <v>0</v>
      </c>
      <c r="M138">
        <v>104</v>
      </c>
      <c r="N138">
        <v>1492800</v>
      </c>
      <c r="O138">
        <v>1492800</v>
      </c>
    </row>
    <row r="139" spans="1:16">
      <c r="A139" t="s">
        <v>285</v>
      </c>
      <c r="B139" t="s">
        <v>124</v>
      </c>
      <c r="C139" t="s">
        <v>1019</v>
      </c>
      <c r="D139">
        <v>20180101</v>
      </c>
      <c r="E139" t="s">
        <v>1</v>
      </c>
      <c r="F139">
        <v>20180101</v>
      </c>
      <c r="G139">
        <v>60</v>
      </c>
      <c r="H139" t="s">
        <v>2</v>
      </c>
      <c r="I139">
        <v>1150700</v>
      </c>
      <c r="J139">
        <v>0</v>
      </c>
      <c r="K139">
        <v>1</v>
      </c>
      <c r="L139">
        <v>0</v>
      </c>
      <c r="M139">
        <v>104</v>
      </c>
      <c r="N139">
        <v>1150700</v>
      </c>
      <c r="O139">
        <v>1150700</v>
      </c>
    </row>
    <row r="140" spans="1:16">
      <c r="A140" t="s">
        <v>286</v>
      </c>
      <c r="B140" t="s">
        <v>125</v>
      </c>
      <c r="C140" t="s">
        <v>1019</v>
      </c>
      <c r="D140">
        <v>20180101</v>
      </c>
      <c r="E140" t="s">
        <v>1</v>
      </c>
      <c r="F140">
        <v>20180101</v>
      </c>
      <c r="G140">
        <v>60</v>
      </c>
      <c r="H140" t="s">
        <v>2</v>
      </c>
      <c r="I140">
        <v>1492800</v>
      </c>
      <c r="J140">
        <v>0</v>
      </c>
      <c r="K140">
        <v>1</v>
      </c>
      <c r="L140">
        <v>0</v>
      </c>
      <c r="M140">
        <v>104</v>
      </c>
      <c r="N140">
        <v>1492800</v>
      </c>
      <c r="O140">
        <v>1492800</v>
      </c>
    </row>
    <row r="141" spans="1:16">
      <c r="A141" t="s">
        <v>287</v>
      </c>
      <c r="B141" t="s">
        <v>125</v>
      </c>
      <c r="C141" t="s">
        <v>1019</v>
      </c>
      <c r="D141">
        <v>20180101</v>
      </c>
      <c r="E141" t="s">
        <v>1</v>
      </c>
      <c r="F141">
        <v>20180101</v>
      </c>
      <c r="G141">
        <v>60</v>
      </c>
      <c r="H141" t="s">
        <v>2</v>
      </c>
      <c r="I141">
        <v>1492800</v>
      </c>
      <c r="J141">
        <v>0</v>
      </c>
      <c r="K141">
        <v>1</v>
      </c>
      <c r="L141">
        <v>0</v>
      </c>
      <c r="M141">
        <v>104</v>
      </c>
      <c r="N141">
        <v>1492800</v>
      </c>
      <c r="O141">
        <v>1492800</v>
      </c>
    </row>
    <row r="142" spans="1:16">
      <c r="A142" t="s">
        <v>288</v>
      </c>
      <c r="B142" t="s">
        <v>125</v>
      </c>
      <c r="C142" t="s">
        <v>1019</v>
      </c>
      <c r="D142">
        <v>20180101</v>
      </c>
      <c r="E142" t="s">
        <v>1</v>
      </c>
      <c r="F142">
        <v>20180101</v>
      </c>
      <c r="G142">
        <v>60</v>
      </c>
      <c r="H142" t="s">
        <v>2</v>
      </c>
      <c r="I142">
        <v>1492800</v>
      </c>
      <c r="J142">
        <v>0</v>
      </c>
      <c r="K142">
        <v>1</v>
      </c>
      <c r="L142">
        <v>0</v>
      </c>
      <c r="M142">
        <v>104</v>
      </c>
      <c r="N142">
        <v>1492800</v>
      </c>
      <c r="O142">
        <v>1492800</v>
      </c>
    </row>
    <row r="143" spans="1:16">
      <c r="A143" t="s">
        <v>289</v>
      </c>
      <c r="B143" t="s">
        <v>125</v>
      </c>
      <c r="C143" t="s">
        <v>1019</v>
      </c>
      <c r="D143">
        <v>20180101</v>
      </c>
      <c r="E143" t="s">
        <v>1</v>
      </c>
      <c r="F143">
        <v>20180101</v>
      </c>
      <c r="G143">
        <v>60</v>
      </c>
      <c r="H143" t="s">
        <v>2</v>
      </c>
      <c r="I143">
        <v>1492800</v>
      </c>
      <c r="J143">
        <v>0</v>
      </c>
      <c r="K143">
        <v>1</v>
      </c>
      <c r="L143">
        <v>0</v>
      </c>
      <c r="M143">
        <v>104</v>
      </c>
      <c r="N143">
        <v>1492800</v>
      </c>
      <c r="O143">
        <v>1492800</v>
      </c>
    </row>
    <row r="144" spans="1:16">
      <c r="A144" t="s">
        <v>290</v>
      </c>
      <c r="B144" t="s">
        <v>125</v>
      </c>
      <c r="C144" t="s">
        <v>1019</v>
      </c>
      <c r="D144">
        <v>20180101</v>
      </c>
      <c r="E144" t="s">
        <v>1</v>
      </c>
      <c r="F144">
        <v>20180101</v>
      </c>
      <c r="G144">
        <v>60</v>
      </c>
      <c r="H144" t="s">
        <v>2</v>
      </c>
      <c r="I144">
        <v>1492800</v>
      </c>
      <c r="J144">
        <v>0</v>
      </c>
      <c r="K144">
        <v>1</v>
      </c>
      <c r="L144">
        <v>0</v>
      </c>
      <c r="M144">
        <v>104</v>
      </c>
      <c r="N144">
        <v>1492800</v>
      </c>
      <c r="O144">
        <v>1492800</v>
      </c>
    </row>
    <row r="145" spans="1:15">
      <c r="A145" t="s">
        <v>291</v>
      </c>
      <c r="B145" t="s">
        <v>125</v>
      </c>
      <c r="C145" t="s">
        <v>1019</v>
      </c>
      <c r="D145">
        <v>20180101</v>
      </c>
      <c r="E145" t="s">
        <v>1</v>
      </c>
      <c r="F145">
        <v>20180101</v>
      </c>
      <c r="G145">
        <v>60</v>
      </c>
      <c r="H145" t="s">
        <v>2</v>
      </c>
      <c r="I145">
        <v>1492800</v>
      </c>
      <c r="J145">
        <v>0</v>
      </c>
      <c r="K145">
        <v>1</v>
      </c>
      <c r="L145">
        <v>0</v>
      </c>
      <c r="M145">
        <v>104</v>
      </c>
      <c r="N145">
        <v>1492800</v>
      </c>
      <c r="O145">
        <v>1492800</v>
      </c>
    </row>
    <row r="146" spans="1:15">
      <c r="A146" t="s">
        <v>292</v>
      </c>
      <c r="B146" t="s">
        <v>125</v>
      </c>
      <c r="C146" t="s">
        <v>1019</v>
      </c>
      <c r="D146">
        <v>20180101</v>
      </c>
      <c r="E146" t="s">
        <v>1</v>
      </c>
      <c r="F146">
        <v>20180101</v>
      </c>
      <c r="G146">
        <v>60</v>
      </c>
      <c r="H146" t="s">
        <v>2</v>
      </c>
      <c r="I146">
        <v>1492800</v>
      </c>
      <c r="J146">
        <v>0</v>
      </c>
      <c r="K146">
        <v>1</v>
      </c>
      <c r="L146">
        <v>0</v>
      </c>
      <c r="M146">
        <v>104</v>
      </c>
      <c r="N146">
        <v>1492800</v>
      </c>
      <c r="O146">
        <v>1492800</v>
      </c>
    </row>
    <row r="147" spans="1:15">
      <c r="A147" t="s">
        <v>293</v>
      </c>
      <c r="B147" t="s">
        <v>125</v>
      </c>
      <c r="C147" t="s">
        <v>1019</v>
      </c>
      <c r="D147">
        <v>20180101</v>
      </c>
      <c r="E147" t="s">
        <v>1</v>
      </c>
      <c r="F147">
        <v>20180101</v>
      </c>
      <c r="G147">
        <v>60</v>
      </c>
      <c r="H147" t="s">
        <v>2</v>
      </c>
      <c r="I147">
        <v>1492800</v>
      </c>
      <c r="J147">
        <v>0</v>
      </c>
      <c r="K147">
        <v>1</v>
      </c>
      <c r="L147">
        <v>0</v>
      </c>
      <c r="M147">
        <v>104</v>
      </c>
      <c r="N147">
        <v>1492800</v>
      </c>
      <c r="O147">
        <v>1492800</v>
      </c>
    </row>
    <row r="148" spans="1:15">
      <c r="A148" t="s">
        <v>294</v>
      </c>
      <c r="B148" t="s">
        <v>125</v>
      </c>
      <c r="C148" t="s">
        <v>1019</v>
      </c>
      <c r="D148">
        <v>20180101</v>
      </c>
      <c r="E148" t="s">
        <v>1</v>
      </c>
      <c r="F148">
        <v>20180101</v>
      </c>
      <c r="G148">
        <v>60</v>
      </c>
      <c r="H148" t="s">
        <v>2</v>
      </c>
      <c r="I148">
        <v>1492800</v>
      </c>
      <c r="J148">
        <v>0</v>
      </c>
      <c r="K148">
        <v>1</v>
      </c>
      <c r="L148">
        <v>0</v>
      </c>
      <c r="M148">
        <v>104</v>
      </c>
      <c r="N148">
        <v>1492800</v>
      </c>
      <c r="O148">
        <v>1492800</v>
      </c>
    </row>
    <row r="149" spans="1:15">
      <c r="A149" t="s">
        <v>295</v>
      </c>
      <c r="B149" t="s">
        <v>126</v>
      </c>
      <c r="C149" t="s">
        <v>1019</v>
      </c>
      <c r="D149">
        <v>20180101</v>
      </c>
      <c r="E149" t="s">
        <v>1</v>
      </c>
      <c r="F149">
        <v>20180101</v>
      </c>
      <c r="G149">
        <v>60</v>
      </c>
      <c r="H149" t="s">
        <v>2</v>
      </c>
      <c r="I149">
        <v>1492800</v>
      </c>
      <c r="J149">
        <v>0</v>
      </c>
      <c r="K149">
        <v>1</v>
      </c>
      <c r="L149">
        <v>0</v>
      </c>
      <c r="M149">
        <v>104</v>
      </c>
      <c r="N149">
        <v>1492800</v>
      </c>
      <c r="O149">
        <v>1492800</v>
      </c>
    </row>
    <row r="150" spans="1:15">
      <c r="A150" t="s">
        <v>296</v>
      </c>
      <c r="B150" t="s">
        <v>126</v>
      </c>
      <c r="C150" t="s">
        <v>1019</v>
      </c>
      <c r="D150">
        <v>20180101</v>
      </c>
      <c r="E150" t="s">
        <v>1</v>
      </c>
      <c r="F150">
        <v>20180101</v>
      </c>
      <c r="G150">
        <v>60</v>
      </c>
      <c r="H150" t="s">
        <v>2</v>
      </c>
      <c r="I150">
        <v>1492800</v>
      </c>
      <c r="J150">
        <v>0</v>
      </c>
      <c r="K150">
        <v>1</v>
      </c>
      <c r="L150">
        <v>0</v>
      </c>
      <c r="M150">
        <v>104</v>
      </c>
      <c r="N150">
        <v>1492800</v>
      </c>
      <c r="O150">
        <v>1492800</v>
      </c>
    </row>
    <row r="151" spans="1:15">
      <c r="A151" t="s">
        <v>297</v>
      </c>
      <c r="B151" t="s">
        <v>127</v>
      </c>
      <c r="C151" t="s">
        <v>1019</v>
      </c>
      <c r="D151">
        <v>20180101</v>
      </c>
      <c r="E151" t="s">
        <v>1</v>
      </c>
      <c r="F151">
        <v>20180101</v>
      </c>
      <c r="G151">
        <v>60</v>
      </c>
      <c r="H151" t="s">
        <v>2</v>
      </c>
      <c r="I151">
        <v>1769590</v>
      </c>
      <c r="J151">
        <v>0</v>
      </c>
      <c r="K151">
        <v>1</v>
      </c>
      <c r="L151">
        <v>0</v>
      </c>
      <c r="M151">
        <v>104</v>
      </c>
      <c r="N151">
        <v>1769590</v>
      </c>
      <c r="O151">
        <v>1769590</v>
      </c>
    </row>
    <row r="152" spans="1:15">
      <c r="A152" t="s">
        <v>298</v>
      </c>
      <c r="B152" t="s">
        <v>127</v>
      </c>
      <c r="C152" t="s">
        <v>1019</v>
      </c>
      <c r="D152">
        <v>20180101</v>
      </c>
      <c r="E152" t="s">
        <v>1</v>
      </c>
      <c r="F152">
        <v>20180101</v>
      </c>
      <c r="G152">
        <v>60</v>
      </c>
      <c r="H152" t="s">
        <v>2</v>
      </c>
      <c r="I152">
        <v>1769590</v>
      </c>
      <c r="J152">
        <v>0</v>
      </c>
      <c r="K152">
        <v>1</v>
      </c>
      <c r="L152">
        <v>0</v>
      </c>
      <c r="M152">
        <v>104</v>
      </c>
      <c r="N152">
        <v>1769590</v>
      </c>
      <c r="O152">
        <v>1769590</v>
      </c>
    </row>
    <row r="153" spans="1:15">
      <c r="A153" t="s">
        <v>299</v>
      </c>
      <c r="B153" t="s">
        <v>128</v>
      </c>
      <c r="C153" t="s">
        <v>1019</v>
      </c>
      <c r="D153">
        <v>20180101</v>
      </c>
      <c r="E153" t="s">
        <v>1</v>
      </c>
      <c r="F153">
        <v>20180101</v>
      </c>
      <c r="G153">
        <v>60</v>
      </c>
      <c r="H153" t="s">
        <v>2</v>
      </c>
      <c r="I153">
        <v>1212900</v>
      </c>
      <c r="J153">
        <v>0</v>
      </c>
      <c r="K153">
        <v>1</v>
      </c>
      <c r="L153">
        <v>0</v>
      </c>
      <c r="M153">
        <v>104</v>
      </c>
      <c r="N153">
        <v>1212900</v>
      </c>
      <c r="O153">
        <v>1212900</v>
      </c>
    </row>
    <row r="154" spans="1:15">
      <c r="A154" t="s">
        <v>300</v>
      </c>
      <c r="B154" t="s">
        <v>129</v>
      </c>
      <c r="C154" t="s">
        <v>1019</v>
      </c>
      <c r="D154">
        <v>20180101</v>
      </c>
      <c r="E154" t="s">
        <v>1</v>
      </c>
      <c r="F154">
        <v>20180101</v>
      </c>
      <c r="G154">
        <v>60</v>
      </c>
      <c r="H154" t="s">
        <v>2</v>
      </c>
      <c r="I154">
        <v>1212900</v>
      </c>
      <c r="J154">
        <v>0</v>
      </c>
      <c r="K154">
        <v>1</v>
      </c>
      <c r="L154">
        <v>0</v>
      </c>
      <c r="M154">
        <v>104</v>
      </c>
      <c r="N154">
        <v>1212900</v>
      </c>
      <c r="O154">
        <v>1212900</v>
      </c>
    </row>
    <row r="155" spans="1:15">
      <c r="A155" t="s">
        <v>301</v>
      </c>
      <c r="B155" t="s">
        <v>130</v>
      </c>
      <c r="C155" t="s">
        <v>1019</v>
      </c>
      <c r="D155">
        <v>20180101</v>
      </c>
      <c r="E155" t="s">
        <v>1</v>
      </c>
      <c r="F155">
        <v>20180101</v>
      </c>
      <c r="G155">
        <v>60</v>
      </c>
      <c r="H155" t="s">
        <v>2</v>
      </c>
      <c r="I155">
        <v>1212900</v>
      </c>
      <c r="J155">
        <v>0</v>
      </c>
      <c r="K155">
        <v>1</v>
      </c>
      <c r="L155">
        <v>0</v>
      </c>
      <c r="M155">
        <v>104</v>
      </c>
      <c r="N155">
        <v>1212900</v>
      </c>
      <c r="O155">
        <v>1212900</v>
      </c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2A22-41DA-447A-A087-65F1416719C0}">
  <dimension ref="A1:J10"/>
  <sheetViews>
    <sheetView zoomScale="90" zoomScaleNormal="90" workbookViewId="0">
      <selection activeCell="H7" sqref="H7:H10"/>
    </sheetView>
  </sheetViews>
  <sheetFormatPr defaultRowHeight="13.8"/>
  <cols>
    <col min="1" max="1" width="78" bestFit="1" customWidth="1"/>
    <col min="2" max="2" width="11.69921875" bestFit="1" customWidth="1"/>
    <col min="3" max="3" width="10.296875" customWidth="1"/>
    <col min="4" max="4" width="10.59765625" bestFit="1" customWidth="1"/>
    <col min="5" max="5" width="17.796875" customWidth="1"/>
    <col min="6" max="6" width="15.19921875" bestFit="1" customWidth="1"/>
    <col min="7" max="7" width="12.09765625" bestFit="1" customWidth="1"/>
    <col min="8" max="8" width="21.59765625" bestFit="1" customWidth="1"/>
  </cols>
  <sheetData>
    <row r="1" spans="1:10" s="2" customFormat="1" ht="15.6">
      <c r="C1" s="2" t="s">
        <v>980</v>
      </c>
      <c r="D1" s="2" t="s">
        <v>134</v>
      </c>
      <c r="E1" s="42" t="s">
        <v>981</v>
      </c>
      <c r="F1" s="2" t="s">
        <v>139</v>
      </c>
      <c r="G1" s="2" t="s">
        <v>982</v>
      </c>
      <c r="H1" s="2" t="s">
        <v>983</v>
      </c>
    </row>
    <row r="2" spans="1:10" ht="18.600000000000001">
      <c r="A2" s="11" t="s">
        <v>984</v>
      </c>
      <c r="B2" s="19">
        <v>43350</v>
      </c>
      <c r="C2" s="15" t="s">
        <v>985</v>
      </c>
      <c r="D2" t="str">
        <f>TEXT(B2,"YYYY-MM-DD")</f>
        <v>2018-09-07</v>
      </c>
      <c r="E2">
        <f>DATEDIF(D2,C2,"D")</f>
        <v>2672</v>
      </c>
      <c r="F2" s="22">
        <v>25000000</v>
      </c>
      <c r="G2" s="17">
        <f>F2/365/5</f>
        <v>13698.630136986301</v>
      </c>
      <c r="H2" s="43">
        <f>G2*E2</f>
        <v>36602739.726027399</v>
      </c>
      <c r="J2" t="str">
        <f>TEXT(B2,"YYYYMMDD")</f>
        <v>20180907</v>
      </c>
    </row>
    <row r="3" spans="1:10" ht="18.600000000000001">
      <c r="A3" s="11" t="s">
        <v>984</v>
      </c>
      <c r="B3" s="19">
        <v>43350</v>
      </c>
      <c r="C3" s="15" t="s">
        <v>985</v>
      </c>
      <c r="D3" t="str">
        <f t="shared" ref="D3:D10" si="0">TEXT(B3,"YYYY-MM-DD")</f>
        <v>2018-09-07</v>
      </c>
      <c r="E3">
        <f>DATEDIF(D3,C3,"D")</f>
        <v>2672</v>
      </c>
      <c r="F3" s="22">
        <v>25000000</v>
      </c>
      <c r="G3" s="17">
        <f t="shared" ref="G3:G9" si="1">F3/365/5</f>
        <v>13698.630136986301</v>
      </c>
      <c r="H3" s="43">
        <f t="shared" ref="H3:H9" si="2">G3*E3</f>
        <v>36602739.726027399</v>
      </c>
      <c r="J3" t="str">
        <f t="shared" ref="J3:J10" si="3">TEXT(B3,"YYYYMMDD")</f>
        <v>20180907</v>
      </c>
    </row>
    <row r="4" spans="1:10" ht="18.600000000000001">
      <c r="A4" s="11" t="s">
        <v>984</v>
      </c>
      <c r="B4" s="19">
        <v>43636</v>
      </c>
      <c r="C4" s="15" t="s">
        <v>985</v>
      </c>
      <c r="D4" t="str">
        <f t="shared" si="0"/>
        <v>2019-06-20</v>
      </c>
      <c r="E4">
        <f t="shared" ref="E4:E9" si="4">DATEDIF(D4,C4,"D")</f>
        <v>2386</v>
      </c>
      <c r="F4" s="22">
        <v>3600000</v>
      </c>
      <c r="G4" s="17">
        <f>F4/365/5</f>
        <v>1972.6027397260273</v>
      </c>
      <c r="H4" s="43">
        <f t="shared" si="2"/>
        <v>4706630.1369863013</v>
      </c>
      <c r="J4" t="str">
        <f t="shared" si="3"/>
        <v>20190620</v>
      </c>
    </row>
    <row r="5" spans="1:10" ht="18.600000000000001">
      <c r="A5" s="11" t="s">
        <v>984</v>
      </c>
      <c r="B5" s="19">
        <v>40217</v>
      </c>
      <c r="C5" s="15" t="s">
        <v>985</v>
      </c>
      <c r="D5" t="str">
        <f t="shared" si="0"/>
        <v>2010-02-08</v>
      </c>
      <c r="E5">
        <f t="shared" si="4"/>
        <v>5805</v>
      </c>
      <c r="F5" s="22">
        <v>7209329.2800000003</v>
      </c>
      <c r="G5" s="17">
        <f t="shared" si="1"/>
        <v>3950.3174136986299</v>
      </c>
      <c r="H5" s="43">
        <f t="shared" si="2"/>
        <v>22931592.586520545</v>
      </c>
      <c r="J5" t="str">
        <f t="shared" si="3"/>
        <v>20100208</v>
      </c>
    </row>
    <row r="6" spans="1:10" ht="18.600000000000001">
      <c r="A6" s="11" t="s">
        <v>984</v>
      </c>
      <c r="B6" s="19">
        <v>43539</v>
      </c>
      <c r="C6" s="15" t="s">
        <v>985</v>
      </c>
      <c r="D6" t="str">
        <f t="shared" si="0"/>
        <v>2019-03-15</v>
      </c>
      <c r="E6">
        <f t="shared" si="4"/>
        <v>2483</v>
      </c>
      <c r="F6" s="22">
        <v>2686020.5032618805</v>
      </c>
      <c r="G6" s="17">
        <f t="shared" si="1"/>
        <v>1471.7920565818524</v>
      </c>
      <c r="H6" s="43">
        <f>G6*E6</f>
        <v>3654459.6764927395</v>
      </c>
      <c r="J6" t="str">
        <f t="shared" si="3"/>
        <v>20190315</v>
      </c>
    </row>
    <row r="7" spans="1:10" ht="18.600000000000001">
      <c r="A7" s="11" t="s">
        <v>984</v>
      </c>
      <c r="B7" s="19">
        <v>44550</v>
      </c>
      <c r="C7" s="15" t="s">
        <v>985</v>
      </c>
      <c r="D7" t="str">
        <f t="shared" si="0"/>
        <v>2021-12-20</v>
      </c>
      <c r="E7">
        <f t="shared" si="4"/>
        <v>1472</v>
      </c>
      <c r="F7" s="22">
        <v>11136706.135629715</v>
      </c>
      <c r="G7" s="17">
        <f t="shared" si="1"/>
        <v>6102.3047318518993</v>
      </c>
      <c r="H7" s="43">
        <f t="shared" si="2"/>
        <v>8982592.5652859956</v>
      </c>
      <c r="J7" t="str">
        <f t="shared" si="3"/>
        <v>20211220</v>
      </c>
    </row>
    <row r="8" spans="1:10" ht="18.600000000000001">
      <c r="A8" s="18" t="s">
        <v>986</v>
      </c>
      <c r="B8" s="19">
        <v>45548</v>
      </c>
      <c r="C8" s="15" t="s">
        <v>985</v>
      </c>
      <c r="D8" t="str">
        <f t="shared" si="0"/>
        <v>2024-09-13</v>
      </c>
      <c r="E8">
        <f t="shared" si="4"/>
        <v>474</v>
      </c>
      <c r="F8" s="22">
        <v>38790710</v>
      </c>
      <c r="G8" s="17">
        <f>F8/365/5</f>
        <v>21255.183561643837</v>
      </c>
      <c r="H8" s="43">
        <f t="shared" si="2"/>
        <v>10074957.008219179</v>
      </c>
      <c r="J8" t="str">
        <f t="shared" si="3"/>
        <v>20240913</v>
      </c>
    </row>
    <row r="9" spans="1:10" ht="18.600000000000001">
      <c r="A9" s="18" t="s">
        <v>986</v>
      </c>
      <c r="B9" s="19">
        <v>45548</v>
      </c>
      <c r="C9" s="15" t="s">
        <v>985</v>
      </c>
      <c r="D9" t="str">
        <f t="shared" si="0"/>
        <v>2024-09-13</v>
      </c>
      <c r="E9">
        <f t="shared" si="4"/>
        <v>474</v>
      </c>
      <c r="F9" s="22">
        <v>39790710.002999999</v>
      </c>
      <c r="G9" s="17">
        <f t="shared" si="1"/>
        <v>21803.128768767121</v>
      </c>
      <c r="H9" s="43">
        <f t="shared" si="2"/>
        <v>10334683.036395615</v>
      </c>
      <c r="J9" t="str">
        <f t="shared" si="3"/>
        <v>20240913</v>
      </c>
    </row>
    <row r="10" spans="1:10" ht="18.600000000000001">
      <c r="A10" s="12" t="s">
        <v>340</v>
      </c>
      <c r="B10" s="44">
        <v>45923</v>
      </c>
      <c r="C10" s="15" t="s">
        <v>985</v>
      </c>
      <c r="D10" t="str">
        <f t="shared" si="0"/>
        <v>2025-09-23</v>
      </c>
      <c r="E10">
        <f>DATEDIF(D10,C10,"D")</f>
        <v>99</v>
      </c>
      <c r="F10" s="45">
        <v>189384800</v>
      </c>
      <c r="G10" s="17">
        <f>F10/365/5</f>
        <v>103772.49315068494</v>
      </c>
      <c r="H10" s="43">
        <f>G10*E10</f>
        <v>10273476.82191781</v>
      </c>
      <c r="J10" t="str">
        <f t="shared" si="3"/>
        <v>20250923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DE41-AB5E-4AA2-AF90-6CFEA7BB0F9B}">
  <dimension ref="A1:C424"/>
  <sheetViews>
    <sheetView topLeftCell="A405" workbookViewId="0">
      <selection activeCell="B2" sqref="B2:B424"/>
    </sheetView>
  </sheetViews>
  <sheetFormatPr defaultRowHeight="13.8"/>
  <cols>
    <col min="1" max="1" width="7.8984375" bestFit="1" customWidth="1"/>
    <col min="2" max="2" width="231.796875" bestFit="1" customWidth="1"/>
    <col min="3" max="3" width="7.5" bestFit="1" customWidth="1"/>
  </cols>
  <sheetData>
    <row r="1" spans="1:3">
      <c r="A1" t="s">
        <v>131</v>
      </c>
      <c r="B1" t="s">
        <v>132</v>
      </c>
      <c r="C1" t="s">
        <v>1020</v>
      </c>
    </row>
    <row r="2" spans="1:3">
      <c r="A2" t="s">
        <v>738</v>
      </c>
      <c r="B2" t="s">
        <v>684</v>
      </c>
      <c r="C2">
        <v>0</v>
      </c>
    </row>
    <row r="3" spans="1:3">
      <c r="A3" t="s">
        <v>739</v>
      </c>
      <c r="B3" t="s">
        <v>684</v>
      </c>
      <c r="C3">
        <v>0</v>
      </c>
    </row>
    <row r="4" spans="1:3">
      <c r="A4" t="s">
        <v>740</v>
      </c>
      <c r="B4" t="s">
        <v>685</v>
      </c>
      <c r="C4">
        <v>0</v>
      </c>
    </row>
    <row r="5" spans="1:3">
      <c r="A5" t="s">
        <v>741</v>
      </c>
      <c r="B5" t="s">
        <v>685</v>
      </c>
      <c r="C5">
        <v>0</v>
      </c>
    </row>
    <row r="6" spans="1:3">
      <c r="A6" t="s">
        <v>742</v>
      </c>
      <c r="B6" t="s">
        <v>685</v>
      </c>
      <c r="C6">
        <v>0</v>
      </c>
    </row>
    <row r="7" spans="1:3">
      <c r="A7" t="s">
        <v>743</v>
      </c>
      <c r="B7" t="s">
        <v>686</v>
      </c>
      <c r="C7">
        <v>0</v>
      </c>
    </row>
    <row r="8" spans="1:3">
      <c r="A8" t="s">
        <v>744</v>
      </c>
      <c r="B8" t="s">
        <v>1021</v>
      </c>
      <c r="C8">
        <v>0</v>
      </c>
    </row>
    <row r="9" spans="1:3">
      <c r="A9" t="s">
        <v>745</v>
      </c>
      <c r="B9" t="s">
        <v>685</v>
      </c>
      <c r="C9">
        <v>0</v>
      </c>
    </row>
    <row r="10" spans="1:3">
      <c r="A10" t="s">
        <v>746</v>
      </c>
      <c r="B10" t="s">
        <v>688</v>
      </c>
      <c r="C10">
        <v>0</v>
      </c>
    </row>
    <row r="11" spans="1:3">
      <c r="A11" t="s">
        <v>747</v>
      </c>
      <c r="B11" t="s">
        <v>689</v>
      </c>
      <c r="C11">
        <v>0</v>
      </c>
    </row>
    <row r="12" spans="1:3">
      <c r="A12" t="s">
        <v>748</v>
      </c>
      <c r="B12" t="s">
        <v>690</v>
      </c>
      <c r="C12">
        <v>0</v>
      </c>
    </row>
    <row r="13" spans="1:3">
      <c r="A13" t="s">
        <v>749</v>
      </c>
      <c r="B13" t="s">
        <v>690</v>
      </c>
      <c r="C13">
        <v>0</v>
      </c>
    </row>
    <row r="14" spans="1:3">
      <c r="A14" t="s">
        <v>750</v>
      </c>
      <c r="B14" t="s">
        <v>685</v>
      </c>
      <c r="C14">
        <v>0</v>
      </c>
    </row>
    <row r="15" spans="1:3">
      <c r="A15" t="s">
        <v>751</v>
      </c>
      <c r="B15" t="s">
        <v>691</v>
      </c>
      <c r="C15">
        <v>0</v>
      </c>
    </row>
    <row r="16" spans="1:3">
      <c r="A16" t="s">
        <v>752</v>
      </c>
      <c r="B16" t="s">
        <v>692</v>
      </c>
      <c r="C16">
        <v>0</v>
      </c>
    </row>
    <row r="17" spans="1:3">
      <c r="A17" t="s">
        <v>753</v>
      </c>
      <c r="B17" t="s">
        <v>693</v>
      </c>
      <c r="C17">
        <v>0</v>
      </c>
    </row>
    <row r="18" spans="1:3">
      <c r="A18" t="s">
        <v>754</v>
      </c>
      <c r="B18" t="s">
        <v>694</v>
      </c>
      <c r="C18">
        <v>0</v>
      </c>
    </row>
    <row r="19" spans="1:3">
      <c r="A19" t="s">
        <v>755</v>
      </c>
      <c r="B19" t="s">
        <v>695</v>
      </c>
      <c r="C19">
        <v>0</v>
      </c>
    </row>
    <row r="20" spans="1:3">
      <c r="A20" t="s">
        <v>756</v>
      </c>
      <c r="B20" t="s">
        <v>696</v>
      </c>
      <c r="C20">
        <v>0</v>
      </c>
    </row>
    <row r="21" spans="1:3">
      <c r="A21" t="s">
        <v>757</v>
      </c>
      <c r="B21" t="s">
        <v>697</v>
      </c>
      <c r="C21">
        <v>0</v>
      </c>
    </row>
    <row r="22" spans="1:3">
      <c r="A22" t="s">
        <v>758</v>
      </c>
      <c r="B22" t="s">
        <v>698</v>
      </c>
      <c r="C22">
        <v>0</v>
      </c>
    </row>
    <row r="23" spans="1:3">
      <c r="A23" t="s">
        <v>759</v>
      </c>
      <c r="B23" t="s">
        <v>699</v>
      </c>
      <c r="C23">
        <v>0</v>
      </c>
    </row>
    <row r="24" spans="1:3">
      <c r="A24" t="s">
        <v>760</v>
      </c>
      <c r="B24" t="s">
        <v>700</v>
      </c>
      <c r="C24">
        <v>0</v>
      </c>
    </row>
    <row r="25" spans="1:3">
      <c r="A25" t="s">
        <v>761</v>
      </c>
      <c r="B25" t="s">
        <v>1022</v>
      </c>
      <c r="C25">
        <v>0</v>
      </c>
    </row>
    <row r="26" spans="1:3">
      <c r="A26" t="s">
        <v>762</v>
      </c>
      <c r="B26" t="s">
        <v>685</v>
      </c>
      <c r="C26">
        <v>0</v>
      </c>
    </row>
    <row r="27" spans="1:3">
      <c r="A27" t="s">
        <v>763</v>
      </c>
      <c r="B27" t="s">
        <v>685</v>
      </c>
      <c r="C27">
        <v>0</v>
      </c>
    </row>
    <row r="28" spans="1:3">
      <c r="A28" t="s">
        <v>764</v>
      </c>
      <c r="B28" t="s">
        <v>698</v>
      </c>
      <c r="C28">
        <v>0</v>
      </c>
    </row>
    <row r="29" spans="1:3">
      <c r="A29" t="s">
        <v>765</v>
      </c>
      <c r="B29" t="s">
        <v>702</v>
      </c>
      <c r="C29">
        <v>0</v>
      </c>
    </row>
    <row r="30" spans="1:3">
      <c r="A30" t="s">
        <v>766</v>
      </c>
      <c r="B30" t="s">
        <v>702</v>
      </c>
      <c r="C30">
        <v>0</v>
      </c>
    </row>
    <row r="31" spans="1:3">
      <c r="A31" t="s">
        <v>767</v>
      </c>
      <c r="B31" t="s">
        <v>703</v>
      </c>
      <c r="C31">
        <v>0</v>
      </c>
    </row>
    <row r="32" spans="1:3">
      <c r="A32" t="s">
        <v>768</v>
      </c>
      <c r="B32" t="s">
        <v>702</v>
      </c>
      <c r="C32">
        <v>0</v>
      </c>
    </row>
    <row r="33" spans="1:3">
      <c r="A33" t="s">
        <v>769</v>
      </c>
      <c r="B33" t="s">
        <v>705</v>
      </c>
      <c r="C33">
        <v>0</v>
      </c>
    </row>
    <row r="34" spans="1:3">
      <c r="A34" t="s">
        <v>770</v>
      </c>
      <c r="B34" t="s">
        <v>705</v>
      </c>
      <c r="C34">
        <v>0</v>
      </c>
    </row>
    <row r="35" spans="1:3">
      <c r="A35" t="s">
        <v>771</v>
      </c>
      <c r="B35" t="s">
        <v>706</v>
      </c>
      <c r="C35">
        <v>0</v>
      </c>
    </row>
    <row r="36" spans="1:3">
      <c r="A36" t="s">
        <v>772</v>
      </c>
      <c r="B36" t="s">
        <v>1023</v>
      </c>
      <c r="C36">
        <v>0</v>
      </c>
    </row>
    <row r="37" spans="1:3">
      <c r="A37" t="s">
        <v>773</v>
      </c>
      <c r="B37" t="s">
        <v>708</v>
      </c>
      <c r="C37">
        <v>0</v>
      </c>
    </row>
    <row r="38" spans="1:3">
      <c r="A38" t="s">
        <v>774</v>
      </c>
      <c r="B38" t="s">
        <v>709</v>
      </c>
      <c r="C38">
        <v>0</v>
      </c>
    </row>
    <row r="39" spans="1:3">
      <c r="A39" t="s">
        <v>775</v>
      </c>
      <c r="B39" t="s">
        <v>710</v>
      </c>
      <c r="C39">
        <v>0</v>
      </c>
    </row>
    <row r="40" spans="1:3">
      <c r="A40" t="s">
        <v>776</v>
      </c>
      <c r="B40" t="s">
        <v>711</v>
      </c>
      <c r="C40">
        <v>0</v>
      </c>
    </row>
    <row r="41" spans="1:3">
      <c r="A41" t="s">
        <v>777</v>
      </c>
      <c r="B41" t="s">
        <v>706</v>
      </c>
      <c r="C41">
        <v>0</v>
      </c>
    </row>
    <row r="42" spans="1:3">
      <c r="A42" t="s">
        <v>778</v>
      </c>
      <c r="B42" t="s">
        <v>706</v>
      </c>
      <c r="C42">
        <v>0</v>
      </c>
    </row>
    <row r="43" spans="1:3">
      <c r="A43" t="s">
        <v>779</v>
      </c>
      <c r="B43" t="s">
        <v>708</v>
      </c>
      <c r="C43">
        <v>0</v>
      </c>
    </row>
    <row r="44" spans="1:3">
      <c r="A44" t="s">
        <v>780</v>
      </c>
      <c r="B44" t="s">
        <v>1023</v>
      </c>
      <c r="C44">
        <v>0</v>
      </c>
    </row>
    <row r="45" spans="1:3">
      <c r="A45" t="s">
        <v>781</v>
      </c>
      <c r="B45" t="s">
        <v>1023</v>
      </c>
      <c r="C45">
        <v>0</v>
      </c>
    </row>
    <row r="46" spans="1:3">
      <c r="A46" t="s">
        <v>782</v>
      </c>
      <c r="B46" t="s">
        <v>1023</v>
      </c>
      <c r="C46">
        <v>0</v>
      </c>
    </row>
    <row r="47" spans="1:3">
      <c r="A47" t="s">
        <v>783</v>
      </c>
      <c r="B47" t="s">
        <v>706</v>
      </c>
      <c r="C47">
        <v>0</v>
      </c>
    </row>
    <row r="48" spans="1:3">
      <c r="A48" t="s">
        <v>784</v>
      </c>
      <c r="B48" t="s">
        <v>706</v>
      </c>
      <c r="C48">
        <v>0</v>
      </c>
    </row>
    <row r="49" spans="1:3">
      <c r="A49" t="s">
        <v>785</v>
      </c>
      <c r="B49" t="s">
        <v>706</v>
      </c>
      <c r="C49">
        <v>0</v>
      </c>
    </row>
    <row r="50" spans="1:3">
      <c r="A50" t="s">
        <v>786</v>
      </c>
      <c r="B50" t="s">
        <v>706</v>
      </c>
      <c r="C50">
        <v>0</v>
      </c>
    </row>
    <row r="51" spans="1:3">
      <c r="A51" t="s">
        <v>787</v>
      </c>
      <c r="B51" t="s">
        <v>706</v>
      </c>
      <c r="C51">
        <v>0</v>
      </c>
    </row>
    <row r="52" spans="1:3">
      <c r="A52" t="s">
        <v>788</v>
      </c>
      <c r="B52" t="s">
        <v>706</v>
      </c>
      <c r="C52">
        <v>0</v>
      </c>
    </row>
    <row r="53" spans="1:3">
      <c r="A53" t="s">
        <v>789</v>
      </c>
      <c r="B53" t="s">
        <v>706</v>
      </c>
      <c r="C53">
        <v>0</v>
      </c>
    </row>
    <row r="54" spans="1:3">
      <c r="A54" t="s">
        <v>790</v>
      </c>
      <c r="B54" t="s">
        <v>706</v>
      </c>
      <c r="C54">
        <v>0</v>
      </c>
    </row>
    <row r="55" spans="1:3">
      <c r="A55" t="s">
        <v>791</v>
      </c>
      <c r="B55" t="s">
        <v>708</v>
      </c>
      <c r="C55">
        <v>0</v>
      </c>
    </row>
    <row r="56" spans="1:3">
      <c r="A56" t="s">
        <v>792</v>
      </c>
      <c r="B56" t="s">
        <v>710</v>
      </c>
      <c r="C56">
        <v>0</v>
      </c>
    </row>
    <row r="57" spans="1:3">
      <c r="A57" t="s">
        <v>793</v>
      </c>
      <c r="B57" t="s">
        <v>709</v>
      </c>
      <c r="C57">
        <v>0</v>
      </c>
    </row>
    <row r="58" spans="1:3">
      <c r="A58" t="s">
        <v>794</v>
      </c>
      <c r="B58" t="s">
        <v>709</v>
      </c>
      <c r="C58">
        <v>0</v>
      </c>
    </row>
    <row r="59" spans="1:3">
      <c r="A59" t="s">
        <v>795</v>
      </c>
      <c r="B59" t="s">
        <v>712</v>
      </c>
      <c r="C59">
        <v>0</v>
      </c>
    </row>
    <row r="60" spans="1:3">
      <c r="A60" t="s">
        <v>796</v>
      </c>
      <c r="B60" t="s">
        <v>1023</v>
      </c>
      <c r="C60">
        <v>0</v>
      </c>
    </row>
    <row r="61" spans="1:3">
      <c r="A61" t="s">
        <v>797</v>
      </c>
      <c r="B61" t="s">
        <v>1023</v>
      </c>
      <c r="C61">
        <v>0</v>
      </c>
    </row>
    <row r="62" spans="1:3">
      <c r="A62" t="s">
        <v>798</v>
      </c>
      <c r="B62" t="s">
        <v>1023</v>
      </c>
      <c r="C62">
        <v>0</v>
      </c>
    </row>
    <row r="63" spans="1:3">
      <c r="A63" t="s">
        <v>799</v>
      </c>
      <c r="B63" t="s">
        <v>1023</v>
      </c>
      <c r="C63">
        <v>0</v>
      </c>
    </row>
    <row r="64" spans="1:3">
      <c r="A64" t="s">
        <v>800</v>
      </c>
      <c r="B64" t="s">
        <v>713</v>
      </c>
      <c r="C64">
        <v>0</v>
      </c>
    </row>
    <row r="65" spans="1:3">
      <c r="A65" t="s">
        <v>801</v>
      </c>
      <c r="B65" t="s">
        <v>714</v>
      </c>
      <c r="C65">
        <v>0</v>
      </c>
    </row>
    <row r="66" spans="1:3">
      <c r="A66" t="s">
        <v>802</v>
      </c>
      <c r="B66" t="s">
        <v>1023</v>
      </c>
      <c r="C66">
        <v>0</v>
      </c>
    </row>
    <row r="67" spans="1:3">
      <c r="A67" t="s">
        <v>803</v>
      </c>
      <c r="B67" t="s">
        <v>1023</v>
      </c>
      <c r="C67">
        <v>0</v>
      </c>
    </row>
    <row r="68" spans="1:3">
      <c r="A68" t="s">
        <v>804</v>
      </c>
      <c r="B68" t="s">
        <v>710</v>
      </c>
      <c r="C68">
        <v>0</v>
      </c>
    </row>
    <row r="69" spans="1:3">
      <c r="A69" t="s">
        <v>805</v>
      </c>
      <c r="B69" t="s">
        <v>712</v>
      </c>
      <c r="C69">
        <v>0</v>
      </c>
    </row>
    <row r="70" spans="1:3">
      <c r="A70" t="s">
        <v>806</v>
      </c>
      <c r="B70" t="s">
        <v>1024</v>
      </c>
      <c r="C70">
        <v>0</v>
      </c>
    </row>
    <row r="71" spans="1:3">
      <c r="A71" t="s">
        <v>807</v>
      </c>
      <c r="B71" t="s">
        <v>716</v>
      </c>
      <c r="C71">
        <v>0</v>
      </c>
    </row>
    <row r="72" spans="1:3">
      <c r="A72" t="s">
        <v>808</v>
      </c>
      <c r="B72" t="s">
        <v>717</v>
      </c>
      <c r="C72">
        <v>0</v>
      </c>
    </row>
    <row r="73" spans="1:3">
      <c r="A73" t="s">
        <v>809</v>
      </c>
      <c r="B73" t="s">
        <v>1025</v>
      </c>
      <c r="C73">
        <v>0</v>
      </c>
    </row>
    <row r="74" spans="1:3">
      <c r="A74" t="s">
        <v>810</v>
      </c>
      <c r="B74" t="s">
        <v>1026</v>
      </c>
      <c r="C74">
        <v>0</v>
      </c>
    </row>
    <row r="75" spans="1:3">
      <c r="A75" t="s">
        <v>811</v>
      </c>
      <c r="B75" t="s">
        <v>720</v>
      </c>
      <c r="C75">
        <v>0</v>
      </c>
    </row>
    <row r="76" spans="1:3">
      <c r="A76" t="s">
        <v>812</v>
      </c>
      <c r="B76" t="s">
        <v>721</v>
      </c>
      <c r="C76">
        <v>0</v>
      </c>
    </row>
    <row r="77" spans="1:3">
      <c r="A77" t="s">
        <v>813</v>
      </c>
      <c r="B77" t="s">
        <v>722</v>
      </c>
      <c r="C77">
        <v>0</v>
      </c>
    </row>
    <row r="78" spans="1:3">
      <c r="A78" t="s">
        <v>814</v>
      </c>
      <c r="B78" t="s">
        <v>723</v>
      </c>
      <c r="C78">
        <v>0</v>
      </c>
    </row>
    <row r="79" spans="1:3">
      <c r="A79" t="s">
        <v>815</v>
      </c>
      <c r="B79" t="s">
        <v>1027</v>
      </c>
      <c r="C79">
        <v>0</v>
      </c>
    </row>
    <row r="80" spans="1:3">
      <c r="A80" t="s">
        <v>816</v>
      </c>
      <c r="B80" t="s">
        <v>725</v>
      </c>
      <c r="C80">
        <v>0</v>
      </c>
    </row>
    <row r="81" spans="1:3">
      <c r="A81" t="s">
        <v>817</v>
      </c>
      <c r="B81" t="s">
        <v>726</v>
      </c>
      <c r="C81">
        <v>0</v>
      </c>
    </row>
    <row r="82" spans="1:3">
      <c r="A82" t="s">
        <v>818</v>
      </c>
      <c r="B82" t="s">
        <v>727</v>
      </c>
      <c r="C82">
        <v>0</v>
      </c>
    </row>
    <row r="83" spans="1:3">
      <c r="A83" t="s">
        <v>819</v>
      </c>
      <c r="B83" t="s">
        <v>728</v>
      </c>
      <c r="C83">
        <v>0</v>
      </c>
    </row>
    <row r="84" spans="1:3">
      <c r="A84" t="s">
        <v>820</v>
      </c>
      <c r="B84" t="s">
        <v>729</v>
      </c>
      <c r="C84">
        <v>0</v>
      </c>
    </row>
    <row r="85" spans="1:3">
      <c r="A85" t="s">
        <v>821</v>
      </c>
      <c r="B85" t="s">
        <v>730</v>
      </c>
      <c r="C85">
        <v>0</v>
      </c>
    </row>
    <row r="86" spans="1:3">
      <c r="A86" t="s">
        <v>822</v>
      </c>
      <c r="B86" t="s">
        <v>731</v>
      </c>
      <c r="C86">
        <v>0</v>
      </c>
    </row>
    <row r="87" spans="1:3">
      <c r="A87" t="s">
        <v>823</v>
      </c>
      <c r="B87" t="s">
        <v>732</v>
      </c>
      <c r="C87">
        <v>0</v>
      </c>
    </row>
    <row r="88" spans="1:3">
      <c r="A88" t="s">
        <v>824</v>
      </c>
      <c r="B88" t="s">
        <v>733</v>
      </c>
      <c r="C88">
        <v>0</v>
      </c>
    </row>
    <row r="89" spans="1:3">
      <c r="A89" t="s">
        <v>825</v>
      </c>
      <c r="B89" t="s">
        <v>734</v>
      </c>
      <c r="C89">
        <v>0</v>
      </c>
    </row>
    <row r="90" spans="1:3">
      <c r="A90" t="s">
        <v>826</v>
      </c>
      <c r="B90" t="s">
        <v>735</v>
      </c>
      <c r="C90">
        <v>0</v>
      </c>
    </row>
    <row r="91" spans="1:3">
      <c r="A91" t="s">
        <v>827</v>
      </c>
      <c r="B91" t="s">
        <v>730</v>
      </c>
      <c r="C91">
        <v>0</v>
      </c>
    </row>
    <row r="92" spans="1:3">
      <c r="A92" t="s">
        <v>828</v>
      </c>
      <c r="B92" t="s">
        <v>736</v>
      </c>
      <c r="C92">
        <v>0</v>
      </c>
    </row>
    <row r="93" spans="1:3">
      <c r="A93" t="s">
        <v>829</v>
      </c>
      <c r="B93" t="s">
        <v>737</v>
      </c>
      <c r="C93">
        <v>0</v>
      </c>
    </row>
    <row r="94" spans="1:3">
      <c r="A94" t="s">
        <v>147</v>
      </c>
      <c r="B94" t="s">
        <v>1034</v>
      </c>
      <c r="C94">
        <v>0</v>
      </c>
    </row>
    <row r="95" spans="1:3">
      <c r="A95" t="s">
        <v>148</v>
      </c>
      <c r="B95" t="s">
        <v>1035</v>
      </c>
      <c r="C95">
        <v>0</v>
      </c>
    </row>
    <row r="96" spans="1:3">
      <c r="A96" t="s">
        <v>149</v>
      </c>
      <c r="B96" t="s">
        <v>4</v>
      </c>
      <c r="C96">
        <v>0</v>
      </c>
    </row>
    <row r="97" spans="1:3">
      <c r="A97" t="s">
        <v>150</v>
      </c>
      <c r="B97" t="s">
        <v>5</v>
      </c>
      <c r="C97">
        <v>0</v>
      </c>
    </row>
    <row r="98" spans="1:3">
      <c r="A98" t="s">
        <v>151</v>
      </c>
      <c r="B98" t="s">
        <v>6</v>
      </c>
      <c r="C98">
        <v>0</v>
      </c>
    </row>
    <row r="99" spans="1:3">
      <c r="A99" t="s">
        <v>152</v>
      </c>
      <c r="B99" t="s">
        <v>6</v>
      </c>
      <c r="C99">
        <v>0</v>
      </c>
    </row>
    <row r="100" spans="1:3">
      <c r="A100" t="s">
        <v>153</v>
      </c>
      <c r="B100" t="s">
        <v>6</v>
      </c>
      <c r="C100">
        <v>0</v>
      </c>
    </row>
    <row r="101" spans="1:3">
      <c r="A101" t="s">
        <v>154</v>
      </c>
      <c r="B101" t="s">
        <v>1036</v>
      </c>
      <c r="C101">
        <v>0</v>
      </c>
    </row>
    <row r="102" spans="1:3">
      <c r="A102" t="s">
        <v>155</v>
      </c>
      <c r="B102" t="s">
        <v>11</v>
      </c>
      <c r="C102">
        <v>0</v>
      </c>
    </row>
    <row r="103" spans="1:3">
      <c r="A103" t="s">
        <v>156</v>
      </c>
      <c r="B103" t="s">
        <v>1037</v>
      </c>
      <c r="C103">
        <v>0</v>
      </c>
    </row>
    <row r="104" spans="1:3">
      <c r="A104" t="s">
        <v>157</v>
      </c>
      <c r="B104" t="s">
        <v>1038</v>
      </c>
      <c r="C104">
        <v>0</v>
      </c>
    </row>
    <row r="105" spans="1:3">
      <c r="A105" t="s">
        <v>158</v>
      </c>
      <c r="B105" t="s">
        <v>1038</v>
      </c>
      <c r="C105">
        <v>0</v>
      </c>
    </row>
    <row r="106" spans="1:3">
      <c r="A106" t="s">
        <v>159</v>
      </c>
      <c r="B106" t="s">
        <v>1038</v>
      </c>
      <c r="C106">
        <v>0</v>
      </c>
    </row>
    <row r="107" spans="1:3">
      <c r="A107" t="s">
        <v>160</v>
      </c>
      <c r="B107" t="s">
        <v>1038</v>
      </c>
      <c r="C107">
        <v>0</v>
      </c>
    </row>
    <row r="108" spans="1:3">
      <c r="A108" t="s">
        <v>161</v>
      </c>
      <c r="B108" t="s">
        <v>18</v>
      </c>
      <c r="C108">
        <v>0</v>
      </c>
    </row>
    <row r="109" spans="1:3">
      <c r="A109" t="s">
        <v>162</v>
      </c>
      <c r="B109" t="s">
        <v>18</v>
      </c>
      <c r="C109">
        <v>0</v>
      </c>
    </row>
    <row r="110" spans="1:3">
      <c r="A110" t="s">
        <v>163</v>
      </c>
      <c r="B110" t="s">
        <v>18</v>
      </c>
      <c r="C110">
        <v>0</v>
      </c>
    </row>
    <row r="111" spans="1:3">
      <c r="A111" t="s">
        <v>164</v>
      </c>
      <c r="B111" t="s">
        <v>18</v>
      </c>
      <c r="C111">
        <v>0</v>
      </c>
    </row>
    <row r="112" spans="1:3">
      <c r="A112" t="s">
        <v>165</v>
      </c>
      <c r="B112" t="s">
        <v>18</v>
      </c>
      <c r="C112">
        <v>0</v>
      </c>
    </row>
    <row r="113" spans="1:3">
      <c r="A113" t="s">
        <v>166</v>
      </c>
      <c r="B113" t="s">
        <v>18</v>
      </c>
      <c r="C113">
        <v>0</v>
      </c>
    </row>
    <row r="114" spans="1:3">
      <c r="A114" t="s">
        <v>167</v>
      </c>
      <c r="B114" t="s">
        <v>18</v>
      </c>
      <c r="C114">
        <v>0</v>
      </c>
    </row>
    <row r="115" spans="1:3">
      <c r="A115" t="s">
        <v>168</v>
      </c>
      <c r="B115" t="s">
        <v>18</v>
      </c>
      <c r="C115">
        <v>0</v>
      </c>
    </row>
    <row r="116" spans="1:3">
      <c r="A116" t="s">
        <v>169</v>
      </c>
      <c r="B116" t="s">
        <v>18</v>
      </c>
      <c r="C116">
        <v>0</v>
      </c>
    </row>
    <row r="117" spans="1:3">
      <c r="A117" t="s">
        <v>170</v>
      </c>
      <c r="B117" t="s">
        <v>18</v>
      </c>
      <c r="C117">
        <v>0</v>
      </c>
    </row>
    <row r="118" spans="1:3">
      <c r="A118" t="s">
        <v>171</v>
      </c>
      <c r="B118" t="s">
        <v>18</v>
      </c>
      <c r="C118">
        <v>0</v>
      </c>
    </row>
    <row r="119" spans="1:3">
      <c r="A119" t="s">
        <v>172</v>
      </c>
      <c r="B119" t="s">
        <v>18</v>
      </c>
      <c r="C119">
        <v>0</v>
      </c>
    </row>
    <row r="120" spans="1:3">
      <c r="A120" t="s">
        <v>173</v>
      </c>
      <c r="B120" t="s">
        <v>18</v>
      </c>
      <c r="C120">
        <v>0</v>
      </c>
    </row>
    <row r="121" spans="1:3">
      <c r="A121" t="s">
        <v>174</v>
      </c>
      <c r="B121" t="s">
        <v>18</v>
      </c>
      <c r="C121">
        <v>0</v>
      </c>
    </row>
    <row r="122" spans="1:3">
      <c r="A122" t="s">
        <v>175</v>
      </c>
      <c r="B122" t="s">
        <v>18</v>
      </c>
      <c r="C122">
        <v>0</v>
      </c>
    </row>
    <row r="123" spans="1:3">
      <c r="A123" t="s">
        <v>176</v>
      </c>
      <c r="B123" t="s">
        <v>18</v>
      </c>
      <c r="C123">
        <v>0</v>
      </c>
    </row>
    <row r="124" spans="1:3">
      <c r="A124" t="s">
        <v>177</v>
      </c>
      <c r="B124" t="s">
        <v>18</v>
      </c>
      <c r="C124">
        <v>0</v>
      </c>
    </row>
    <row r="125" spans="1:3">
      <c r="A125" t="s">
        <v>178</v>
      </c>
      <c r="B125" t="s">
        <v>18</v>
      </c>
      <c r="C125">
        <v>0</v>
      </c>
    </row>
    <row r="126" spans="1:3">
      <c r="A126" t="s">
        <v>179</v>
      </c>
      <c r="B126" t="s">
        <v>18</v>
      </c>
      <c r="C126">
        <v>0</v>
      </c>
    </row>
    <row r="127" spans="1:3">
      <c r="A127" t="s">
        <v>180</v>
      </c>
      <c r="B127" t="s">
        <v>18</v>
      </c>
      <c r="C127">
        <v>0</v>
      </c>
    </row>
    <row r="128" spans="1:3">
      <c r="A128" t="s">
        <v>181</v>
      </c>
      <c r="B128" t="s">
        <v>18</v>
      </c>
      <c r="C128">
        <v>0</v>
      </c>
    </row>
    <row r="129" spans="1:3">
      <c r="A129" t="s">
        <v>182</v>
      </c>
      <c r="B129" t="s">
        <v>18</v>
      </c>
      <c r="C129">
        <v>0</v>
      </c>
    </row>
    <row r="130" spans="1:3">
      <c r="A130" t="s">
        <v>183</v>
      </c>
      <c r="B130" t="s">
        <v>18</v>
      </c>
      <c r="C130">
        <v>0</v>
      </c>
    </row>
    <row r="131" spans="1:3">
      <c r="A131" t="s">
        <v>184</v>
      </c>
      <c r="B131" t="s">
        <v>18</v>
      </c>
      <c r="C131">
        <v>0</v>
      </c>
    </row>
    <row r="132" spans="1:3">
      <c r="A132" t="s">
        <v>185</v>
      </c>
      <c r="B132" t="s">
        <v>18</v>
      </c>
      <c r="C132">
        <v>0</v>
      </c>
    </row>
    <row r="133" spans="1:3">
      <c r="A133" t="s">
        <v>186</v>
      </c>
      <c r="B133" t="s">
        <v>44</v>
      </c>
      <c r="C133">
        <v>0</v>
      </c>
    </row>
    <row r="134" spans="1:3">
      <c r="A134" t="s">
        <v>187</v>
      </c>
      <c r="B134" t="s">
        <v>46</v>
      </c>
      <c r="C134">
        <v>0</v>
      </c>
    </row>
    <row r="135" spans="1:3">
      <c r="A135" t="s">
        <v>188</v>
      </c>
      <c r="B135" t="s">
        <v>46</v>
      </c>
      <c r="C135">
        <v>0</v>
      </c>
    </row>
    <row r="136" spans="1:3">
      <c r="A136" t="s">
        <v>189</v>
      </c>
      <c r="B136" t="s">
        <v>49</v>
      </c>
      <c r="C136">
        <v>0</v>
      </c>
    </row>
    <row r="137" spans="1:3">
      <c r="A137" t="s">
        <v>190</v>
      </c>
      <c r="B137" t="s">
        <v>49</v>
      </c>
      <c r="C137">
        <v>0</v>
      </c>
    </row>
    <row r="138" spans="1:3">
      <c r="A138" t="s">
        <v>191</v>
      </c>
      <c r="B138" t="s">
        <v>49</v>
      </c>
      <c r="C138">
        <v>0</v>
      </c>
    </row>
    <row r="139" spans="1:3">
      <c r="A139" t="s">
        <v>192</v>
      </c>
      <c r="B139" t="s">
        <v>49</v>
      </c>
      <c r="C139">
        <v>0</v>
      </c>
    </row>
    <row r="140" spans="1:3">
      <c r="A140" t="s">
        <v>193</v>
      </c>
      <c r="B140" t="s">
        <v>54</v>
      </c>
      <c r="C140">
        <v>0</v>
      </c>
    </row>
    <row r="141" spans="1:3">
      <c r="A141" t="s">
        <v>194</v>
      </c>
      <c r="B141" t="s">
        <v>56</v>
      </c>
      <c r="C141">
        <v>0</v>
      </c>
    </row>
    <row r="142" spans="1:3">
      <c r="A142" t="s">
        <v>195</v>
      </c>
      <c r="B142" t="s">
        <v>58</v>
      </c>
      <c r="C142">
        <v>0</v>
      </c>
    </row>
    <row r="143" spans="1:3">
      <c r="A143" t="s">
        <v>196</v>
      </c>
      <c r="B143" t="s">
        <v>60</v>
      </c>
      <c r="C143">
        <v>0</v>
      </c>
    </row>
    <row r="144" spans="1:3">
      <c r="A144" t="s">
        <v>197</v>
      </c>
      <c r="B144" t="s">
        <v>61</v>
      </c>
      <c r="C144">
        <v>0</v>
      </c>
    </row>
    <row r="145" spans="1:3">
      <c r="A145" t="s">
        <v>198</v>
      </c>
      <c r="B145" t="s">
        <v>62</v>
      </c>
      <c r="C145">
        <v>0</v>
      </c>
    </row>
    <row r="146" spans="1:3">
      <c r="A146" t="s">
        <v>199</v>
      </c>
      <c r="B146" t="s">
        <v>63</v>
      </c>
      <c r="C146">
        <v>0</v>
      </c>
    </row>
    <row r="147" spans="1:3">
      <c r="A147" t="s">
        <v>200</v>
      </c>
      <c r="B147" t="s">
        <v>63</v>
      </c>
      <c r="C147">
        <v>0</v>
      </c>
    </row>
    <row r="148" spans="1:3">
      <c r="A148" t="s">
        <v>201</v>
      </c>
      <c r="B148" t="s">
        <v>63</v>
      </c>
      <c r="C148">
        <v>0</v>
      </c>
    </row>
    <row r="149" spans="1:3">
      <c r="A149" t="s">
        <v>202</v>
      </c>
      <c r="B149" t="s">
        <v>1039</v>
      </c>
      <c r="C149">
        <v>0</v>
      </c>
    </row>
    <row r="150" spans="1:3">
      <c r="A150" t="s">
        <v>203</v>
      </c>
      <c r="B150" t="s">
        <v>68</v>
      </c>
      <c r="C150">
        <v>0</v>
      </c>
    </row>
    <row r="151" spans="1:3">
      <c r="A151" t="s">
        <v>204</v>
      </c>
      <c r="B151" t="s">
        <v>69</v>
      </c>
      <c r="C151">
        <v>0</v>
      </c>
    </row>
    <row r="152" spans="1:3">
      <c r="A152" t="s">
        <v>205</v>
      </c>
      <c r="B152" t="s">
        <v>70</v>
      </c>
      <c r="C152">
        <v>0</v>
      </c>
    </row>
    <row r="153" spans="1:3">
      <c r="A153" t="s">
        <v>206</v>
      </c>
      <c r="B153" t="s">
        <v>71</v>
      </c>
      <c r="C153">
        <v>0</v>
      </c>
    </row>
    <row r="154" spans="1:3">
      <c r="A154" t="s">
        <v>207</v>
      </c>
      <c r="B154" t="s">
        <v>72</v>
      </c>
      <c r="C154">
        <v>0</v>
      </c>
    </row>
    <row r="155" spans="1:3">
      <c r="A155" t="s">
        <v>208</v>
      </c>
      <c r="B155" t="s">
        <v>72</v>
      </c>
      <c r="C155">
        <v>0</v>
      </c>
    </row>
    <row r="156" spans="1:3">
      <c r="A156" t="s">
        <v>209</v>
      </c>
      <c r="B156" t="s">
        <v>72</v>
      </c>
      <c r="C156">
        <v>0</v>
      </c>
    </row>
    <row r="157" spans="1:3">
      <c r="A157" t="s">
        <v>210</v>
      </c>
      <c r="B157" t="s">
        <v>73</v>
      </c>
      <c r="C157">
        <v>0</v>
      </c>
    </row>
    <row r="158" spans="1:3">
      <c r="A158" t="s">
        <v>211</v>
      </c>
      <c r="B158" t="s">
        <v>74</v>
      </c>
      <c r="C158">
        <v>0</v>
      </c>
    </row>
    <row r="159" spans="1:3">
      <c r="A159" t="s">
        <v>212</v>
      </c>
      <c r="B159" t="s">
        <v>75</v>
      </c>
      <c r="C159">
        <v>0</v>
      </c>
    </row>
    <row r="160" spans="1:3">
      <c r="A160" t="s">
        <v>213</v>
      </c>
      <c r="B160" t="s">
        <v>75</v>
      </c>
      <c r="C160">
        <v>0</v>
      </c>
    </row>
    <row r="161" spans="1:3">
      <c r="A161" t="s">
        <v>214</v>
      </c>
      <c r="B161" t="s">
        <v>75</v>
      </c>
      <c r="C161">
        <v>0</v>
      </c>
    </row>
    <row r="162" spans="1:3">
      <c r="A162" t="s">
        <v>215</v>
      </c>
      <c r="B162" t="s">
        <v>75</v>
      </c>
      <c r="C162">
        <v>0</v>
      </c>
    </row>
    <row r="163" spans="1:3">
      <c r="A163" t="s">
        <v>216</v>
      </c>
      <c r="B163" t="s">
        <v>75</v>
      </c>
      <c r="C163">
        <v>0</v>
      </c>
    </row>
    <row r="164" spans="1:3">
      <c r="A164" t="s">
        <v>217</v>
      </c>
      <c r="B164" t="s">
        <v>75</v>
      </c>
      <c r="C164">
        <v>0</v>
      </c>
    </row>
    <row r="165" spans="1:3">
      <c r="A165" t="s">
        <v>218</v>
      </c>
      <c r="B165" t="s">
        <v>75</v>
      </c>
      <c r="C165">
        <v>0</v>
      </c>
    </row>
    <row r="166" spans="1:3">
      <c r="A166" t="s">
        <v>219</v>
      </c>
      <c r="B166" t="s">
        <v>75</v>
      </c>
      <c r="C166">
        <v>0</v>
      </c>
    </row>
    <row r="167" spans="1:3">
      <c r="A167" t="s">
        <v>220</v>
      </c>
      <c r="B167" t="s">
        <v>75</v>
      </c>
      <c r="C167">
        <v>0</v>
      </c>
    </row>
    <row r="168" spans="1:3">
      <c r="A168" t="s">
        <v>221</v>
      </c>
      <c r="B168" t="s">
        <v>75</v>
      </c>
      <c r="C168">
        <v>0</v>
      </c>
    </row>
    <row r="169" spans="1:3">
      <c r="A169" t="s">
        <v>222</v>
      </c>
      <c r="B169" t="s">
        <v>75</v>
      </c>
      <c r="C169">
        <v>0</v>
      </c>
    </row>
    <row r="170" spans="1:3">
      <c r="A170" t="s">
        <v>223</v>
      </c>
      <c r="B170" t="s">
        <v>75</v>
      </c>
      <c r="C170">
        <v>0</v>
      </c>
    </row>
    <row r="171" spans="1:3">
      <c r="A171" t="s">
        <v>224</v>
      </c>
      <c r="B171" t="s">
        <v>75</v>
      </c>
      <c r="C171">
        <v>0</v>
      </c>
    </row>
    <row r="172" spans="1:3">
      <c r="A172" t="s">
        <v>225</v>
      </c>
      <c r="B172" t="s">
        <v>75</v>
      </c>
      <c r="C172">
        <v>0</v>
      </c>
    </row>
    <row r="173" spans="1:3">
      <c r="A173" t="s">
        <v>226</v>
      </c>
      <c r="B173" t="s">
        <v>75</v>
      </c>
      <c r="C173">
        <v>0</v>
      </c>
    </row>
    <row r="174" spans="1:3">
      <c r="A174" t="s">
        <v>227</v>
      </c>
      <c r="B174" t="s">
        <v>75</v>
      </c>
      <c r="C174">
        <v>0</v>
      </c>
    </row>
    <row r="175" spans="1:3">
      <c r="A175" t="s">
        <v>228</v>
      </c>
      <c r="B175" t="s">
        <v>75</v>
      </c>
      <c r="C175">
        <v>0</v>
      </c>
    </row>
    <row r="176" spans="1:3">
      <c r="A176" t="s">
        <v>229</v>
      </c>
      <c r="B176" t="s">
        <v>75</v>
      </c>
      <c r="C176">
        <v>0</v>
      </c>
    </row>
    <row r="177" spans="1:3">
      <c r="A177" t="s">
        <v>230</v>
      </c>
      <c r="B177" t="s">
        <v>94</v>
      </c>
      <c r="C177">
        <v>0</v>
      </c>
    </row>
    <row r="178" spans="1:3">
      <c r="A178" t="s">
        <v>231</v>
      </c>
      <c r="B178" t="s">
        <v>1040</v>
      </c>
      <c r="C178">
        <v>0</v>
      </c>
    </row>
    <row r="179" spans="1:3">
      <c r="A179" t="s">
        <v>232</v>
      </c>
      <c r="B179" t="s">
        <v>1041</v>
      </c>
      <c r="C179">
        <v>0</v>
      </c>
    </row>
    <row r="180" spans="1:3">
      <c r="A180" t="s">
        <v>233</v>
      </c>
      <c r="B180" t="s">
        <v>98</v>
      </c>
      <c r="C180">
        <v>0</v>
      </c>
    </row>
    <row r="181" spans="1:3">
      <c r="A181" t="s">
        <v>234</v>
      </c>
      <c r="B181" t="s">
        <v>100</v>
      </c>
      <c r="C181">
        <v>0</v>
      </c>
    </row>
    <row r="182" spans="1:3">
      <c r="A182" t="s">
        <v>235</v>
      </c>
      <c r="B182" t="s">
        <v>101</v>
      </c>
      <c r="C182">
        <v>0</v>
      </c>
    </row>
    <row r="183" spans="1:3">
      <c r="A183" t="s">
        <v>236</v>
      </c>
      <c r="B183" t="s">
        <v>1042</v>
      </c>
      <c r="C183">
        <v>0</v>
      </c>
    </row>
    <row r="184" spans="1:3">
      <c r="A184" t="s">
        <v>237</v>
      </c>
      <c r="B184" t="s">
        <v>103</v>
      </c>
      <c r="C184">
        <v>0</v>
      </c>
    </row>
    <row r="185" spans="1:3">
      <c r="A185" t="s">
        <v>238</v>
      </c>
      <c r="B185" t="s">
        <v>103</v>
      </c>
      <c r="C185">
        <v>0</v>
      </c>
    </row>
    <row r="186" spans="1:3">
      <c r="A186" t="s">
        <v>239</v>
      </c>
      <c r="B186" t="s">
        <v>103</v>
      </c>
      <c r="C186">
        <v>0</v>
      </c>
    </row>
    <row r="187" spans="1:3">
      <c r="A187" t="s">
        <v>240</v>
      </c>
      <c r="B187" t="s">
        <v>103</v>
      </c>
      <c r="C187">
        <v>0</v>
      </c>
    </row>
    <row r="188" spans="1:3">
      <c r="A188" t="s">
        <v>241</v>
      </c>
      <c r="B188" t="s">
        <v>104</v>
      </c>
      <c r="C188">
        <v>0</v>
      </c>
    </row>
    <row r="189" spans="1:3">
      <c r="A189" t="s">
        <v>242</v>
      </c>
      <c r="B189" t="s">
        <v>105</v>
      </c>
      <c r="C189">
        <v>0</v>
      </c>
    </row>
    <row r="190" spans="1:3">
      <c r="A190" t="s">
        <v>243</v>
      </c>
      <c r="B190" t="s">
        <v>106</v>
      </c>
      <c r="C190">
        <v>0</v>
      </c>
    </row>
    <row r="191" spans="1:3">
      <c r="A191" t="s">
        <v>244</v>
      </c>
      <c r="B191" t="s">
        <v>106</v>
      </c>
      <c r="C191">
        <v>0</v>
      </c>
    </row>
    <row r="192" spans="1:3">
      <c r="A192" t="s">
        <v>245</v>
      </c>
      <c r="B192" t="s">
        <v>107</v>
      </c>
      <c r="C192">
        <v>0</v>
      </c>
    </row>
    <row r="193" spans="1:3">
      <c r="A193" t="s">
        <v>246</v>
      </c>
      <c r="B193" t="s">
        <v>108</v>
      </c>
      <c r="C193">
        <v>0</v>
      </c>
    </row>
    <row r="194" spans="1:3">
      <c r="A194" t="s">
        <v>247</v>
      </c>
      <c r="B194" t="s">
        <v>109</v>
      </c>
      <c r="C194">
        <v>0</v>
      </c>
    </row>
    <row r="195" spans="1:3">
      <c r="A195" t="s">
        <v>248</v>
      </c>
      <c r="B195" t="s">
        <v>109</v>
      </c>
      <c r="C195">
        <v>0</v>
      </c>
    </row>
    <row r="196" spans="1:3">
      <c r="A196" t="s">
        <v>249</v>
      </c>
      <c r="B196" t="s">
        <v>109</v>
      </c>
      <c r="C196">
        <v>0</v>
      </c>
    </row>
    <row r="197" spans="1:3">
      <c r="A197" t="s">
        <v>250</v>
      </c>
      <c r="B197" t="s">
        <v>109</v>
      </c>
      <c r="C197">
        <v>0</v>
      </c>
    </row>
    <row r="198" spans="1:3">
      <c r="A198" t="s">
        <v>251</v>
      </c>
      <c r="B198" t="s">
        <v>109</v>
      </c>
      <c r="C198">
        <v>0</v>
      </c>
    </row>
    <row r="199" spans="1:3">
      <c r="A199" t="s">
        <v>252</v>
      </c>
      <c r="B199" t="s">
        <v>109</v>
      </c>
      <c r="C199">
        <v>0</v>
      </c>
    </row>
    <row r="200" spans="1:3">
      <c r="A200" t="s">
        <v>253</v>
      </c>
      <c r="B200" t="s">
        <v>109</v>
      </c>
      <c r="C200">
        <v>0</v>
      </c>
    </row>
    <row r="201" spans="1:3">
      <c r="A201" t="s">
        <v>254</v>
      </c>
      <c r="B201" t="s">
        <v>109</v>
      </c>
      <c r="C201">
        <v>0</v>
      </c>
    </row>
    <row r="202" spans="1:3">
      <c r="A202" t="s">
        <v>255</v>
      </c>
      <c r="B202" t="s">
        <v>109</v>
      </c>
      <c r="C202">
        <v>0</v>
      </c>
    </row>
    <row r="203" spans="1:3">
      <c r="A203" t="s">
        <v>256</v>
      </c>
      <c r="B203" t="s">
        <v>109</v>
      </c>
      <c r="C203">
        <v>0</v>
      </c>
    </row>
    <row r="204" spans="1:3">
      <c r="A204" t="s">
        <v>257</v>
      </c>
      <c r="B204" t="s">
        <v>109</v>
      </c>
      <c r="C204">
        <v>0</v>
      </c>
    </row>
    <row r="205" spans="1:3">
      <c r="A205" t="s">
        <v>258</v>
      </c>
      <c r="B205" t="s">
        <v>109</v>
      </c>
      <c r="C205">
        <v>0</v>
      </c>
    </row>
    <row r="206" spans="1:3">
      <c r="A206" t="s">
        <v>259</v>
      </c>
      <c r="B206" t="s">
        <v>109</v>
      </c>
      <c r="C206">
        <v>0</v>
      </c>
    </row>
    <row r="207" spans="1:3">
      <c r="A207" t="s">
        <v>260</v>
      </c>
      <c r="B207" t="s">
        <v>109</v>
      </c>
      <c r="C207">
        <v>0</v>
      </c>
    </row>
    <row r="208" spans="1:3">
      <c r="A208" t="s">
        <v>261</v>
      </c>
      <c r="B208" t="s">
        <v>109</v>
      </c>
      <c r="C208">
        <v>0</v>
      </c>
    </row>
    <row r="209" spans="1:3">
      <c r="A209" t="s">
        <v>262</v>
      </c>
      <c r="B209" t="s">
        <v>109</v>
      </c>
      <c r="C209">
        <v>0</v>
      </c>
    </row>
    <row r="210" spans="1:3">
      <c r="A210" t="s">
        <v>263</v>
      </c>
      <c r="B210" t="s">
        <v>109</v>
      </c>
      <c r="C210">
        <v>0</v>
      </c>
    </row>
    <row r="211" spans="1:3">
      <c r="A211" t="s">
        <v>264</v>
      </c>
      <c r="B211" t="s">
        <v>110</v>
      </c>
      <c r="C211">
        <v>0</v>
      </c>
    </row>
    <row r="212" spans="1:3">
      <c r="A212" t="s">
        <v>265</v>
      </c>
      <c r="B212" t="s">
        <v>110</v>
      </c>
      <c r="C212">
        <v>0</v>
      </c>
    </row>
    <row r="213" spans="1:3">
      <c r="A213" t="s">
        <v>266</v>
      </c>
      <c r="B213" t="s">
        <v>110</v>
      </c>
      <c r="C213">
        <v>0</v>
      </c>
    </row>
    <row r="214" spans="1:3">
      <c r="A214" t="s">
        <v>267</v>
      </c>
      <c r="B214" t="s">
        <v>110</v>
      </c>
      <c r="C214">
        <v>0</v>
      </c>
    </row>
    <row r="215" spans="1:3">
      <c r="A215" t="s">
        <v>268</v>
      </c>
      <c r="B215" t="s">
        <v>110</v>
      </c>
      <c r="C215">
        <v>0</v>
      </c>
    </row>
    <row r="216" spans="1:3">
      <c r="A216" t="s">
        <v>269</v>
      </c>
      <c r="B216" t="s">
        <v>110</v>
      </c>
      <c r="C216">
        <v>0</v>
      </c>
    </row>
    <row r="217" spans="1:3">
      <c r="A217" t="s">
        <v>270</v>
      </c>
      <c r="B217" t="s">
        <v>110</v>
      </c>
      <c r="C217">
        <v>0</v>
      </c>
    </row>
    <row r="218" spans="1:3">
      <c r="A218" t="s">
        <v>271</v>
      </c>
      <c r="B218" t="s">
        <v>110</v>
      </c>
      <c r="C218">
        <v>0</v>
      </c>
    </row>
    <row r="219" spans="1:3">
      <c r="A219" t="s">
        <v>272</v>
      </c>
      <c r="B219" t="s">
        <v>110</v>
      </c>
      <c r="C219">
        <v>0</v>
      </c>
    </row>
    <row r="220" spans="1:3">
      <c r="A220" t="s">
        <v>273</v>
      </c>
      <c r="B220" t="s">
        <v>111</v>
      </c>
      <c r="C220">
        <v>0</v>
      </c>
    </row>
    <row r="221" spans="1:3">
      <c r="A221" t="s">
        <v>274</v>
      </c>
      <c r="B221" t="s">
        <v>112</v>
      </c>
      <c r="C221">
        <v>0</v>
      </c>
    </row>
    <row r="222" spans="1:3">
      <c r="A222" t="s">
        <v>275</v>
      </c>
      <c r="B222" t="s">
        <v>113</v>
      </c>
      <c r="C222">
        <v>0</v>
      </c>
    </row>
    <row r="223" spans="1:3">
      <c r="A223" t="s">
        <v>276</v>
      </c>
      <c r="B223" t="s">
        <v>114</v>
      </c>
      <c r="C223">
        <v>0</v>
      </c>
    </row>
    <row r="224" spans="1:3">
      <c r="A224" t="s">
        <v>277</v>
      </c>
      <c r="B224" t="s">
        <v>115</v>
      </c>
      <c r="C224">
        <v>0</v>
      </c>
    </row>
    <row r="225" spans="1:3">
      <c r="A225" t="s">
        <v>278</v>
      </c>
      <c r="B225" t="s">
        <v>116</v>
      </c>
      <c r="C225">
        <v>0</v>
      </c>
    </row>
    <row r="226" spans="1:3">
      <c r="A226" t="s">
        <v>279</v>
      </c>
      <c r="B226" t="s">
        <v>117</v>
      </c>
      <c r="C226">
        <v>0</v>
      </c>
    </row>
    <row r="227" spans="1:3">
      <c r="A227" t="s">
        <v>280</v>
      </c>
      <c r="B227" t="s">
        <v>118</v>
      </c>
      <c r="C227">
        <v>0</v>
      </c>
    </row>
    <row r="228" spans="1:3">
      <c r="A228" t="s">
        <v>281</v>
      </c>
      <c r="B228" t="s">
        <v>119</v>
      </c>
      <c r="C228">
        <v>0</v>
      </c>
    </row>
    <row r="229" spans="1:3">
      <c r="A229" t="s">
        <v>282</v>
      </c>
      <c r="B229" t="s">
        <v>119</v>
      </c>
      <c r="C229">
        <v>0</v>
      </c>
    </row>
    <row r="230" spans="1:3">
      <c r="A230" t="s">
        <v>283</v>
      </c>
      <c r="B230" t="s">
        <v>122</v>
      </c>
      <c r="C230">
        <v>0</v>
      </c>
    </row>
    <row r="231" spans="1:3">
      <c r="A231" t="s">
        <v>284</v>
      </c>
      <c r="B231" t="s">
        <v>123</v>
      </c>
      <c r="C231">
        <v>0</v>
      </c>
    </row>
    <row r="232" spans="1:3">
      <c r="A232" t="s">
        <v>285</v>
      </c>
      <c r="B232" t="s">
        <v>124</v>
      </c>
      <c r="C232">
        <v>0</v>
      </c>
    </row>
    <row r="233" spans="1:3">
      <c r="A233" t="s">
        <v>286</v>
      </c>
      <c r="B233" t="s">
        <v>125</v>
      </c>
      <c r="C233">
        <v>0</v>
      </c>
    </row>
    <row r="234" spans="1:3">
      <c r="A234" t="s">
        <v>287</v>
      </c>
      <c r="B234" t="s">
        <v>125</v>
      </c>
      <c r="C234">
        <v>0</v>
      </c>
    </row>
    <row r="235" spans="1:3">
      <c r="A235" t="s">
        <v>288</v>
      </c>
      <c r="B235" t="s">
        <v>125</v>
      </c>
      <c r="C235">
        <v>0</v>
      </c>
    </row>
    <row r="236" spans="1:3">
      <c r="A236" t="s">
        <v>289</v>
      </c>
      <c r="B236" t="s">
        <v>125</v>
      </c>
      <c r="C236">
        <v>0</v>
      </c>
    </row>
    <row r="237" spans="1:3">
      <c r="A237" t="s">
        <v>290</v>
      </c>
      <c r="B237" t="s">
        <v>125</v>
      </c>
      <c r="C237">
        <v>0</v>
      </c>
    </row>
    <row r="238" spans="1:3">
      <c r="A238" t="s">
        <v>291</v>
      </c>
      <c r="B238" t="s">
        <v>125</v>
      </c>
      <c r="C238">
        <v>0</v>
      </c>
    </row>
    <row r="239" spans="1:3">
      <c r="A239" t="s">
        <v>292</v>
      </c>
      <c r="B239" t="s">
        <v>125</v>
      </c>
      <c r="C239">
        <v>0</v>
      </c>
    </row>
    <row r="240" spans="1:3">
      <c r="A240" t="s">
        <v>293</v>
      </c>
      <c r="B240" t="s">
        <v>125</v>
      </c>
      <c r="C240">
        <v>0</v>
      </c>
    </row>
    <row r="241" spans="1:3">
      <c r="A241" t="s">
        <v>294</v>
      </c>
      <c r="B241" t="s">
        <v>125</v>
      </c>
      <c r="C241">
        <v>0</v>
      </c>
    </row>
    <row r="242" spans="1:3">
      <c r="A242" t="s">
        <v>295</v>
      </c>
      <c r="B242" t="s">
        <v>126</v>
      </c>
      <c r="C242">
        <v>0</v>
      </c>
    </row>
    <row r="243" spans="1:3">
      <c r="A243" t="s">
        <v>296</v>
      </c>
      <c r="B243" t="s">
        <v>126</v>
      </c>
      <c r="C243">
        <v>0</v>
      </c>
    </row>
    <row r="244" spans="1:3">
      <c r="A244" t="s">
        <v>297</v>
      </c>
      <c r="B244" t="s">
        <v>127</v>
      </c>
      <c r="C244">
        <v>0</v>
      </c>
    </row>
    <row r="245" spans="1:3">
      <c r="A245" t="s">
        <v>298</v>
      </c>
      <c r="B245" t="s">
        <v>127</v>
      </c>
      <c r="C245">
        <v>0</v>
      </c>
    </row>
    <row r="246" spans="1:3">
      <c r="A246" t="s">
        <v>299</v>
      </c>
      <c r="B246" t="s">
        <v>128</v>
      </c>
      <c r="C246">
        <v>0</v>
      </c>
    </row>
    <row r="247" spans="1:3">
      <c r="A247" t="s">
        <v>300</v>
      </c>
      <c r="B247" t="s">
        <v>129</v>
      </c>
      <c r="C247">
        <v>0</v>
      </c>
    </row>
    <row r="248" spans="1:3">
      <c r="A248" t="s">
        <v>301</v>
      </c>
      <c r="B248" t="s">
        <v>130</v>
      </c>
      <c r="C248">
        <v>0</v>
      </c>
    </row>
    <row r="249" spans="1:3">
      <c r="A249" t="s">
        <v>341</v>
      </c>
      <c r="B249" t="s">
        <v>302</v>
      </c>
      <c r="C249">
        <v>0</v>
      </c>
    </row>
    <row r="250" spans="1:3">
      <c r="A250" t="s">
        <v>342</v>
      </c>
      <c r="B250" t="s">
        <v>302</v>
      </c>
      <c r="C250">
        <v>0</v>
      </c>
    </row>
    <row r="251" spans="1:3">
      <c r="A251" t="s">
        <v>343</v>
      </c>
      <c r="B251" t="s">
        <v>302</v>
      </c>
      <c r="C251">
        <v>0</v>
      </c>
    </row>
    <row r="252" spans="1:3">
      <c r="A252" t="s">
        <v>344</v>
      </c>
      <c r="B252" t="s">
        <v>303</v>
      </c>
      <c r="C252">
        <v>0</v>
      </c>
    </row>
    <row r="253" spans="1:3">
      <c r="A253" t="s">
        <v>345</v>
      </c>
      <c r="B253" t="s">
        <v>303</v>
      </c>
      <c r="C253">
        <v>0</v>
      </c>
    </row>
    <row r="254" spans="1:3">
      <c r="A254" t="s">
        <v>346</v>
      </c>
      <c r="B254" t="s">
        <v>303</v>
      </c>
      <c r="C254">
        <v>0</v>
      </c>
    </row>
    <row r="255" spans="1:3">
      <c r="A255" t="s">
        <v>347</v>
      </c>
      <c r="B255" t="s">
        <v>304</v>
      </c>
      <c r="C255">
        <v>0</v>
      </c>
    </row>
    <row r="256" spans="1:3">
      <c r="A256" t="s">
        <v>348</v>
      </c>
      <c r="B256" t="s">
        <v>304</v>
      </c>
      <c r="C256">
        <v>0</v>
      </c>
    </row>
    <row r="257" spans="1:3">
      <c r="A257" t="s">
        <v>349</v>
      </c>
      <c r="B257" t="s">
        <v>304</v>
      </c>
      <c r="C257">
        <v>0</v>
      </c>
    </row>
    <row r="258" spans="1:3">
      <c r="A258" t="s">
        <v>350</v>
      </c>
      <c r="B258" t="s">
        <v>305</v>
      </c>
      <c r="C258">
        <v>0</v>
      </c>
    </row>
    <row r="259" spans="1:3">
      <c r="A259" t="s">
        <v>351</v>
      </c>
      <c r="B259" t="s">
        <v>305</v>
      </c>
      <c r="C259">
        <v>0</v>
      </c>
    </row>
    <row r="260" spans="1:3">
      <c r="A260" t="s">
        <v>352</v>
      </c>
      <c r="B260" t="s">
        <v>305</v>
      </c>
      <c r="C260">
        <v>0</v>
      </c>
    </row>
    <row r="261" spans="1:3">
      <c r="A261" t="s">
        <v>353</v>
      </c>
      <c r="B261" t="s">
        <v>305</v>
      </c>
      <c r="C261">
        <v>0</v>
      </c>
    </row>
    <row r="262" spans="1:3">
      <c r="A262" t="s">
        <v>354</v>
      </c>
      <c r="B262" t="s">
        <v>305</v>
      </c>
      <c r="C262">
        <v>0</v>
      </c>
    </row>
    <row r="263" spans="1:3">
      <c r="A263" t="s">
        <v>355</v>
      </c>
      <c r="B263" t="s">
        <v>305</v>
      </c>
      <c r="C263">
        <v>0</v>
      </c>
    </row>
    <row r="264" spans="1:3">
      <c r="A264" t="s">
        <v>356</v>
      </c>
      <c r="B264" t="s">
        <v>306</v>
      </c>
      <c r="C264">
        <v>0</v>
      </c>
    </row>
    <row r="265" spans="1:3">
      <c r="A265" t="s">
        <v>357</v>
      </c>
      <c r="B265" t="s">
        <v>306</v>
      </c>
      <c r="C265">
        <v>0</v>
      </c>
    </row>
    <row r="266" spans="1:3">
      <c r="A266" t="s">
        <v>358</v>
      </c>
      <c r="B266" t="s">
        <v>307</v>
      </c>
      <c r="C266">
        <v>0</v>
      </c>
    </row>
    <row r="267" spans="1:3">
      <c r="A267" t="s">
        <v>359</v>
      </c>
      <c r="B267" t="s">
        <v>307</v>
      </c>
      <c r="C267">
        <v>0</v>
      </c>
    </row>
    <row r="268" spans="1:3">
      <c r="A268" t="s">
        <v>360</v>
      </c>
      <c r="B268" t="s">
        <v>307</v>
      </c>
      <c r="C268">
        <v>0</v>
      </c>
    </row>
    <row r="269" spans="1:3">
      <c r="A269" t="s">
        <v>361</v>
      </c>
      <c r="B269" t="s">
        <v>307</v>
      </c>
      <c r="C269">
        <v>0</v>
      </c>
    </row>
    <row r="270" spans="1:3">
      <c r="A270" t="s">
        <v>362</v>
      </c>
      <c r="B270" t="s">
        <v>307</v>
      </c>
      <c r="C270">
        <v>0</v>
      </c>
    </row>
    <row r="271" spans="1:3">
      <c r="A271" t="s">
        <v>363</v>
      </c>
      <c r="B271" t="s">
        <v>307</v>
      </c>
      <c r="C271">
        <v>0</v>
      </c>
    </row>
    <row r="272" spans="1:3">
      <c r="A272" t="s">
        <v>364</v>
      </c>
      <c r="B272" t="s">
        <v>308</v>
      </c>
      <c r="C272">
        <v>0</v>
      </c>
    </row>
    <row r="273" spans="1:3">
      <c r="A273" t="s">
        <v>365</v>
      </c>
      <c r="B273" t="s">
        <v>309</v>
      </c>
      <c r="C273">
        <v>0</v>
      </c>
    </row>
    <row r="274" spans="1:3">
      <c r="A274" t="s">
        <v>366</v>
      </c>
      <c r="B274" t="s">
        <v>309</v>
      </c>
      <c r="C274">
        <v>0</v>
      </c>
    </row>
    <row r="275" spans="1:3">
      <c r="A275" t="s">
        <v>367</v>
      </c>
      <c r="B275" t="s">
        <v>310</v>
      </c>
      <c r="C275">
        <v>0</v>
      </c>
    </row>
    <row r="276" spans="1:3">
      <c r="A276" t="s">
        <v>368</v>
      </c>
      <c r="B276" t="s">
        <v>310</v>
      </c>
      <c r="C276">
        <v>0</v>
      </c>
    </row>
    <row r="277" spans="1:3">
      <c r="A277" t="s">
        <v>369</v>
      </c>
      <c r="B277" t="s">
        <v>310</v>
      </c>
      <c r="C277">
        <v>0</v>
      </c>
    </row>
    <row r="278" spans="1:3">
      <c r="A278" t="s">
        <v>370</v>
      </c>
      <c r="B278" t="s">
        <v>310</v>
      </c>
      <c r="C278">
        <v>0</v>
      </c>
    </row>
    <row r="279" spans="1:3">
      <c r="A279" t="s">
        <v>371</v>
      </c>
      <c r="B279" t="s">
        <v>310</v>
      </c>
      <c r="C279">
        <v>0</v>
      </c>
    </row>
    <row r="280" spans="1:3">
      <c r="A280" t="s">
        <v>372</v>
      </c>
      <c r="B280" t="s">
        <v>310</v>
      </c>
      <c r="C280">
        <v>0</v>
      </c>
    </row>
    <row r="281" spans="1:3">
      <c r="A281" t="s">
        <v>373</v>
      </c>
      <c r="B281" t="s">
        <v>310</v>
      </c>
      <c r="C281">
        <v>0</v>
      </c>
    </row>
    <row r="282" spans="1:3">
      <c r="A282" t="s">
        <v>374</v>
      </c>
      <c r="B282" t="s">
        <v>310</v>
      </c>
      <c r="C282">
        <v>0</v>
      </c>
    </row>
    <row r="283" spans="1:3">
      <c r="A283" t="s">
        <v>375</v>
      </c>
      <c r="B283" t="s">
        <v>311</v>
      </c>
      <c r="C283">
        <v>0</v>
      </c>
    </row>
    <row r="284" spans="1:3">
      <c r="A284" t="s">
        <v>376</v>
      </c>
      <c r="B284" t="s">
        <v>311</v>
      </c>
      <c r="C284">
        <v>0</v>
      </c>
    </row>
    <row r="285" spans="1:3">
      <c r="A285" t="s">
        <v>377</v>
      </c>
      <c r="B285" t="s">
        <v>312</v>
      </c>
      <c r="C285">
        <v>0</v>
      </c>
    </row>
    <row r="286" spans="1:3">
      <c r="A286" t="s">
        <v>378</v>
      </c>
      <c r="B286" t="s">
        <v>313</v>
      </c>
      <c r="C286">
        <v>0</v>
      </c>
    </row>
    <row r="287" spans="1:3">
      <c r="A287" t="s">
        <v>379</v>
      </c>
      <c r="B287" t="s">
        <v>313</v>
      </c>
      <c r="C287">
        <v>0</v>
      </c>
    </row>
    <row r="288" spans="1:3">
      <c r="A288" t="s">
        <v>380</v>
      </c>
      <c r="B288" t="s">
        <v>313</v>
      </c>
      <c r="C288">
        <v>0</v>
      </c>
    </row>
    <row r="289" spans="1:3">
      <c r="A289" t="s">
        <v>381</v>
      </c>
      <c r="B289" t="s">
        <v>314</v>
      </c>
      <c r="C289">
        <v>0</v>
      </c>
    </row>
    <row r="290" spans="1:3">
      <c r="A290" t="s">
        <v>382</v>
      </c>
      <c r="B290" t="s">
        <v>314</v>
      </c>
      <c r="C290">
        <v>0</v>
      </c>
    </row>
    <row r="291" spans="1:3">
      <c r="A291" t="s">
        <v>383</v>
      </c>
      <c r="B291" t="s">
        <v>314</v>
      </c>
      <c r="C291">
        <v>0</v>
      </c>
    </row>
    <row r="292" spans="1:3">
      <c r="A292" t="s">
        <v>384</v>
      </c>
      <c r="B292" t="s">
        <v>314</v>
      </c>
      <c r="C292">
        <v>0</v>
      </c>
    </row>
    <row r="293" spans="1:3">
      <c r="A293" t="s">
        <v>385</v>
      </c>
      <c r="B293" t="s">
        <v>314</v>
      </c>
      <c r="C293">
        <v>0</v>
      </c>
    </row>
    <row r="294" spans="1:3">
      <c r="A294" t="s">
        <v>386</v>
      </c>
      <c r="B294" t="s">
        <v>314</v>
      </c>
      <c r="C294">
        <v>0</v>
      </c>
    </row>
    <row r="295" spans="1:3">
      <c r="A295" t="s">
        <v>387</v>
      </c>
      <c r="B295" t="s">
        <v>314</v>
      </c>
      <c r="C295">
        <v>0</v>
      </c>
    </row>
    <row r="296" spans="1:3">
      <c r="A296" t="s">
        <v>388</v>
      </c>
      <c r="B296" t="s">
        <v>314</v>
      </c>
      <c r="C296">
        <v>0</v>
      </c>
    </row>
    <row r="297" spans="1:3">
      <c r="A297" t="s">
        <v>389</v>
      </c>
      <c r="B297" t="s">
        <v>315</v>
      </c>
      <c r="C297">
        <v>0</v>
      </c>
    </row>
    <row r="298" spans="1:3">
      <c r="A298" t="s">
        <v>390</v>
      </c>
      <c r="B298" t="s">
        <v>316</v>
      </c>
      <c r="C298">
        <v>0</v>
      </c>
    </row>
    <row r="299" spans="1:3">
      <c r="A299" t="s">
        <v>391</v>
      </c>
      <c r="B299" t="s">
        <v>316</v>
      </c>
      <c r="C299">
        <v>0</v>
      </c>
    </row>
    <row r="300" spans="1:3">
      <c r="A300" t="s">
        <v>392</v>
      </c>
      <c r="B300" t="s">
        <v>316</v>
      </c>
      <c r="C300">
        <v>0</v>
      </c>
    </row>
    <row r="301" spans="1:3">
      <c r="A301" t="s">
        <v>393</v>
      </c>
      <c r="B301" t="s">
        <v>316</v>
      </c>
      <c r="C301">
        <v>0</v>
      </c>
    </row>
    <row r="302" spans="1:3">
      <c r="A302" t="s">
        <v>394</v>
      </c>
      <c r="B302" t="s">
        <v>316</v>
      </c>
      <c r="C302">
        <v>0</v>
      </c>
    </row>
    <row r="303" spans="1:3">
      <c r="A303" t="s">
        <v>395</v>
      </c>
      <c r="B303" t="s">
        <v>316</v>
      </c>
      <c r="C303">
        <v>0</v>
      </c>
    </row>
    <row r="304" spans="1:3">
      <c r="A304" t="s">
        <v>396</v>
      </c>
      <c r="B304" t="s">
        <v>316</v>
      </c>
      <c r="C304">
        <v>0</v>
      </c>
    </row>
    <row r="305" spans="1:3">
      <c r="A305" t="s">
        <v>397</v>
      </c>
      <c r="B305" t="s">
        <v>316</v>
      </c>
      <c r="C305">
        <v>0</v>
      </c>
    </row>
    <row r="306" spans="1:3">
      <c r="A306" t="s">
        <v>398</v>
      </c>
      <c r="B306" t="s">
        <v>317</v>
      </c>
      <c r="C306">
        <v>0</v>
      </c>
    </row>
    <row r="307" spans="1:3">
      <c r="A307" t="s">
        <v>399</v>
      </c>
      <c r="B307" t="s">
        <v>318</v>
      </c>
      <c r="C307">
        <v>0</v>
      </c>
    </row>
    <row r="308" spans="1:3">
      <c r="A308" t="s">
        <v>400</v>
      </c>
      <c r="B308" t="s">
        <v>318</v>
      </c>
      <c r="C308">
        <v>0</v>
      </c>
    </row>
    <row r="309" spans="1:3">
      <c r="A309" t="s">
        <v>401</v>
      </c>
      <c r="B309" t="s">
        <v>318</v>
      </c>
      <c r="C309">
        <v>0</v>
      </c>
    </row>
    <row r="310" spans="1:3">
      <c r="A310" t="s">
        <v>402</v>
      </c>
      <c r="B310" t="s">
        <v>318</v>
      </c>
      <c r="C310">
        <v>0</v>
      </c>
    </row>
    <row r="311" spans="1:3">
      <c r="A311" t="s">
        <v>403</v>
      </c>
      <c r="B311" t="s">
        <v>318</v>
      </c>
      <c r="C311">
        <v>0</v>
      </c>
    </row>
    <row r="312" spans="1:3">
      <c r="A312" t="s">
        <v>404</v>
      </c>
      <c r="B312" t="s">
        <v>318</v>
      </c>
      <c r="C312">
        <v>0</v>
      </c>
    </row>
    <row r="313" spans="1:3">
      <c r="A313" t="s">
        <v>405</v>
      </c>
      <c r="B313" t="s">
        <v>318</v>
      </c>
      <c r="C313">
        <v>0</v>
      </c>
    </row>
    <row r="314" spans="1:3">
      <c r="A314" t="s">
        <v>406</v>
      </c>
      <c r="B314" t="s">
        <v>318</v>
      </c>
      <c r="C314">
        <v>0</v>
      </c>
    </row>
    <row r="315" spans="1:3">
      <c r="A315" t="s">
        <v>407</v>
      </c>
      <c r="B315" t="s">
        <v>318</v>
      </c>
      <c r="C315">
        <v>0</v>
      </c>
    </row>
    <row r="316" spans="1:3">
      <c r="A316" t="s">
        <v>408</v>
      </c>
      <c r="B316" t="s">
        <v>319</v>
      </c>
      <c r="C316">
        <v>0</v>
      </c>
    </row>
    <row r="317" spans="1:3">
      <c r="A317" t="s">
        <v>409</v>
      </c>
      <c r="B317" t="s">
        <v>320</v>
      </c>
      <c r="C317">
        <v>0</v>
      </c>
    </row>
    <row r="318" spans="1:3">
      <c r="A318" t="s">
        <v>410</v>
      </c>
      <c r="B318" t="s">
        <v>321</v>
      </c>
      <c r="C318">
        <v>0</v>
      </c>
    </row>
    <row r="319" spans="1:3">
      <c r="A319" t="s">
        <v>411</v>
      </c>
      <c r="B319" t="s">
        <v>321</v>
      </c>
      <c r="C319">
        <v>0</v>
      </c>
    </row>
    <row r="320" spans="1:3">
      <c r="A320" t="s">
        <v>412</v>
      </c>
      <c r="B320" t="s">
        <v>321</v>
      </c>
      <c r="C320">
        <v>0</v>
      </c>
    </row>
    <row r="321" spans="1:3">
      <c r="A321" t="s">
        <v>413</v>
      </c>
      <c r="B321" t="s">
        <v>322</v>
      </c>
      <c r="C321">
        <v>0</v>
      </c>
    </row>
    <row r="322" spans="1:3">
      <c r="A322" t="s">
        <v>414</v>
      </c>
      <c r="B322" t="s">
        <v>323</v>
      </c>
      <c r="C322">
        <v>0</v>
      </c>
    </row>
    <row r="323" spans="1:3">
      <c r="A323" t="s">
        <v>415</v>
      </c>
      <c r="B323" t="s">
        <v>323</v>
      </c>
      <c r="C323">
        <v>0</v>
      </c>
    </row>
    <row r="324" spans="1:3">
      <c r="A324" t="s">
        <v>416</v>
      </c>
      <c r="B324" t="s">
        <v>323</v>
      </c>
      <c r="C324">
        <v>0</v>
      </c>
    </row>
    <row r="325" spans="1:3">
      <c r="A325" t="s">
        <v>417</v>
      </c>
      <c r="B325" t="s">
        <v>323</v>
      </c>
      <c r="C325">
        <v>0</v>
      </c>
    </row>
    <row r="326" spans="1:3">
      <c r="A326" t="s">
        <v>418</v>
      </c>
      <c r="B326" t="s">
        <v>324</v>
      </c>
      <c r="C326">
        <v>0</v>
      </c>
    </row>
    <row r="327" spans="1:3">
      <c r="A327" t="s">
        <v>419</v>
      </c>
      <c r="B327" t="s">
        <v>325</v>
      </c>
      <c r="C327">
        <v>0</v>
      </c>
    </row>
    <row r="328" spans="1:3">
      <c r="A328" t="s">
        <v>420</v>
      </c>
      <c r="B328" t="s">
        <v>326</v>
      </c>
      <c r="C328">
        <v>0</v>
      </c>
    </row>
    <row r="329" spans="1:3">
      <c r="A329" t="s">
        <v>421</v>
      </c>
      <c r="B329" t="s">
        <v>327</v>
      </c>
      <c r="C329">
        <v>0</v>
      </c>
    </row>
    <row r="330" spans="1:3">
      <c r="A330" t="s">
        <v>422</v>
      </c>
      <c r="B330" t="s">
        <v>328</v>
      </c>
      <c r="C330">
        <v>0</v>
      </c>
    </row>
    <row r="331" spans="1:3">
      <c r="A331" t="s">
        <v>423</v>
      </c>
      <c r="B331" t="s">
        <v>329</v>
      </c>
      <c r="C331">
        <v>0</v>
      </c>
    </row>
    <row r="332" spans="1:3">
      <c r="A332" t="s">
        <v>424</v>
      </c>
      <c r="B332" t="s">
        <v>330</v>
      </c>
      <c r="C332">
        <v>0</v>
      </c>
    </row>
    <row r="333" spans="1:3">
      <c r="A333" t="s">
        <v>425</v>
      </c>
      <c r="B333" t="s">
        <v>331</v>
      </c>
      <c r="C333">
        <v>0</v>
      </c>
    </row>
    <row r="334" spans="1:3">
      <c r="A334" t="s">
        <v>426</v>
      </c>
      <c r="B334" t="s">
        <v>330</v>
      </c>
      <c r="C334">
        <v>0</v>
      </c>
    </row>
    <row r="335" spans="1:3">
      <c r="A335" t="s">
        <v>427</v>
      </c>
      <c r="B335" t="s">
        <v>332</v>
      </c>
      <c r="C335">
        <v>0</v>
      </c>
    </row>
    <row r="336" spans="1:3">
      <c r="A336" t="s">
        <v>428</v>
      </c>
      <c r="B336" t="s">
        <v>333</v>
      </c>
      <c r="C336">
        <v>0</v>
      </c>
    </row>
    <row r="337" spans="1:3">
      <c r="A337" t="s">
        <v>429</v>
      </c>
      <c r="B337" t="s">
        <v>334</v>
      </c>
      <c r="C337">
        <v>0</v>
      </c>
    </row>
    <row r="338" spans="1:3">
      <c r="A338" t="s">
        <v>430</v>
      </c>
      <c r="B338" t="s">
        <v>335</v>
      </c>
      <c r="C338">
        <v>0</v>
      </c>
    </row>
    <row r="339" spans="1:3">
      <c r="A339" t="s">
        <v>431</v>
      </c>
      <c r="B339" t="s">
        <v>336</v>
      </c>
      <c r="C339">
        <v>0</v>
      </c>
    </row>
    <row r="340" spans="1:3">
      <c r="A340" t="s">
        <v>432</v>
      </c>
      <c r="B340" t="s">
        <v>1043</v>
      </c>
      <c r="C340">
        <v>0</v>
      </c>
    </row>
    <row r="341" spans="1:3">
      <c r="A341" t="s">
        <v>433</v>
      </c>
      <c r="B341" t="s">
        <v>1044</v>
      </c>
      <c r="C341">
        <v>0</v>
      </c>
    </row>
    <row r="342" spans="1:3">
      <c r="A342" t="s">
        <v>434</v>
      </c>
      <c r="B342" t="s">
        <v>339</v>
      </c>
      <c r="C342">
        <v>0</v>
      </c>
    </row>
    <row r="343" spans="1:3">
      <c r="A343" t="s">
        <v>446</v>
      </c>
      <c r="B343" t="s">
        <v>445</v>
      </c>
      <c r="C343">
        <v>0</v>
      </c>
    </row>
    <row r="344" spans="1:3">
      <c r="A344" t="s">
        <v>492</v>
      </c>
      <c r="B344" t="s">
        <v>448</v>
      </c>
      <c r="C344">
        <v>0</v>
      </c>
    </row>
    <row r="345" spans="1:3">
      <c r="A345" t="s">
        <v>493</v>
      </c>
      <c r="B345" t="s">
        <v>449</v>
      </c>
      <c r="C345">
        <v>0</v>
      </c>
    </row>
    <row r="346" spans="1:3">
      <c r="A346" t="s">
        <v>494</v>
      </c>
      <c r="B346" t="s">
        <v>450</v>
      </c>
      <c r="C346">
        <v>0</v>
      </c>
    </row>
    <row r="347" spans="1:3">
      <c r="A347" t="s">
        <v>495</v>
      </c>
      <c r="B347" t="s">
        <v>451</v>
      </c>
      <c r="C347">
        <v>0</v>
      </c>
    </row>
    <row r="348" spans="1:3">
      <c r="A348" t="s">
        <v>496</v>
      </c>
      <c r="B348" t="s">
        <v>452</v>
      </c>
      <c r="C348">
        <v>0</v>
      </c>
    </row>
    <row r="349" spans="1:3">
      <c r="A349" t="s">
        <v>497</v>
      </c>
      <c r="B349" t="s">
        <v>453</v>
      </c>
      <c r="C349">
        <v>0</v>
      </c>
    </row>
    <row r="350" spans="1:3">
      <c r="A350" t="s">
        <v>498</v>
      </c>
      <c r="B350" t="s">
        <v>454</v>
      </c>
      <c r="C350">
        <v>0</v>
      </c>
    </row>
    <row r="351" spans="1:3">
      <c r="A351" t="s">
        <v>499</v>
      </c>
      <c r="B351" t="s">
        <v>455</v>
      </c>
      <c r="C351">
        <v>0</v>
      </c>
    </row>
    <row r="352" spans="1:3">
      <c r="A352" t="s">
        <v>500</v>
      </c>
      <c r="B352" t="s">
        <v>456</v>
      </c>
      <c r="C352">
        <v>0</v>
      </c>
    </row>
    <row r="353" spans="1:3">
      <c r="A353" t="s">
        <v>501</v>
      </c>
      <c r="B353" t="s">
        <v>456</v>
      </c>
      <c r="C353">
        <v>0</v>
      </c>
    </row>
    <row r="354" spans="1:3">
      <c r="A354" t="s">
        <v>502</v>
      </c>
      <c r="B354" t="s">
        <v>457</v>
      </c>
      <c r="C354">
        <v>0</v>
      </c>
    </row>
    <row r="355" spans="1:3">
      <c r="A355" t="s">
        <v>503</v>
      </c>
      <c r="B355" t="s">
        <v>457</v>
      </c>
      <c r="C355">
        <v>0</v>
      </c>
    </row>
    <row r="356" spans="1:3">
      <c r="A356" t="s">
        <v>504</v>
      </c>
      <c r="B356" t="s">
        <v>457</v>
      </c>
      <c r="C356">
        <v>0</v>
      </c>
    </row>
    <row r="357" spans="1:3">
      <c r="A357" t="s">
        <v>505</v>
      </c>
      <c r="B357" t="s">
        <v>457</v>
      </c>
      <c r="C357">
        <v>0</v>
      </c>
    </row>
    <row r="358" spans="1:3">
      <c r="A358" t="s">
        <v>506</v>
      </c>
      <c r="B358" t="s">
        <v>458</v>
      </c>
      <c r="C358">
        <v>0</v>
      </c>
    </row>
    <row r="359" spans="1:3">
      <c r="A359" t="s">
        <v>507</v>
      </c>
      <c r="B359" t="s">
        <v>459</v>
      </c>
      <c r="C359">
        <v>0</v>
      </c>
    </row>
    <row r="360" spans="1:3">
      <c r="A360" t="s">
        <v>508</v>
      </c>
      <c r="B360" t="s">
        <v>459</v>
      </c>
      <c r="C360">
        <v>0</v>
      </c>
    </row>
    <row r="361" spans="1:3">
      <c r="A361" t="s">
        <v>509</v>
      </c>
      <c r="B361" t="s">
        <v>459</v>
      </c>
      <c r="C361">
        <v>0</v>
      </c>
    </row>
    <row r="362" spans="1:3">
      <c r="A362" t="s">
        <v>510</v>
      </c>
      <c r="B362" t="s">
        <v>459</v>
      </c>
      <c r="C362">
        <v>0</v>
      </c>
    </row>
    <row r="363" spans="1:3">
      <c r="A363" t="s">
        <v>511</v>
      </c>
      <c r="B363" t="s">
        <v>459</v>
      </c>
      <c r="C363">
        <v>0</v>
      </c>
    </row>
    <row r="364" spans="1:3">
      <c r="A364" t="s">
        <v>512</v>
      </c>
      <c r="B364" t="s">
        <v>459</v>
      </c>
      <c r="C364">
        <v>0</v>
      </c>
    </row>
    <row r="365" spans="1:3">
      <c r="A365" t="s">
        <v>513</v>
      </c>
      <c r="B365" t="s">
        <v>459</v>
      </c>
      <c r="C365">
        <v>0</v>
      </c>
    </row>
    <row r="366" spans="1:3">
      <c r="A366" t="s">
        <v>514</v>
      </c>
      <c r="B366" t="s">
        <v>460</v>
      </c>
      <c r="C366">
        <v>0</v>
      </c>
    </row>
    <row r="367" spans="1:3">
      <c r="A367" t="s">
        <v>515</v>
      </c>
      <c r="B367" t="s">
        <v>461</v>
      </c>
      <c r="C367">
        <v>0</v>
      </c>
    </row>
    <row r="368" spans="1:3">
      <c r="A368" t="s">
        <v>516</v>
      </c>
      <c r="B368" t="s">
        <v>462</v>
      </c>
      <c r="C368">
        <v>0</v>
      </c>
    </row>
    <row r="369" spans="1:3">
      <c r="A369" t="s">
        <v>517</v>
      </c>
      <c r="B369" t="s">
        <v>463</v>
      </c>
      <c r="C369">
        <v>0</v>
      </c>
    </row>
    <row r="370" spans="1:3">
      <c r="A370" t="s">
        <v>518</v>
      </c>
      <c r="B370" t="s">
        <v>464</v>
      </c>
      <c r="C370">
        <v>0</v>
      </c>
    </row>
    <row r="371" spans="1:3">
      <c r="A371" t="s">
        <v>519</v>
      </c>
      <c r="B371" t="s">
        <v>465</v>
      </c>
      <c r="C371">
        <v>0</v>
      </c>
    </row>
    <row r="372" spans="1:3">
      <c r="A372" t="s">
        <v>520</v>
      </c>
      <c r="B372" t="s">
        <v>465</v>
      </c>
      <c r="C372">
        <v>0</v>
      </c>
    </row>
    <row r="373" spans="1:3">
      <c r="A373" t="s">
        <v>521</v>
      </c>
      <c r="B373" t="s">
        <v>465</v>
      </c>
      <c r="C373">
        <v>0</v>
      </c>
    </row>
    <row r="374" spans="1:3">
      <c r="A374" t="s">
        <v>522</v>
      </c>
      <c r="B374" t="s">
        <v>465</v>
      </c>
      <c r="C374">
        <v>0</v>
      </c>
    </row>
    <row r="375" spans="1:3">
      <c r="A375" t="s">
        <v>523</v>
      </c>
      <c r="B375" t="s">
        <v>465</v>
      </c>
      <c r="C375">
        <v>0</v>
      </c>
    </row>
    <row r="376" spans="1:3">
      <c r="A376" t="s">
        <v>524</v>
      </c>
      <c r="B376" t="s">
        <v>466</v>
      </c>
      <c r="C376">
        <v>0</v>
      </c>
    </row>
    <row r="377" spans="1:3">
      <c r="A377" t="s">
        <v>525</v>
      </c>
      <c r="B377" t="s">
        <v>467</v>
      </c>
      <c r="C377">
        <v>0</v>
      </c>
    </row>
    <row r="378" spans="1:3">
      <c r="A378" t="s">
        <v>526</v>
      </c>
      <c r="B378" t="s">
        <v>465</v>
      </c>
      <c r="C378">
        <v>0</v>
      </c>
    </row>
    <row r="379" spans="1:3">
      <c r="A379" t="s">
        <v>527</v>
      </c>
      <c r="B379" t="s">
        <v>468</v>
      </c>
      <c r="C379">
        <v>0</v>
      </c>
    </row>
    <row r="380" spans="1:3">
      <c r="A380" t="s">
        <v>528</v>
      </c>
      <c r="B380" t="s">
        <v>467</v>
      </c>
      <c r="C380">
        <v>0</v>
      </c>
    </row>
    <row r="381" spans="1:3">
      <c r="A381" t="s">
        <v>529</v>
      </c>
      <c r="B381" t="s">
        <v>468</v>
      </c>
      <c r="C381">
        <v>0</v>
      </c>
    </row>
    <row r="382" spans="1:3">
      <c r="A382" t="s">
        <v>530</v>
      </c>
      <c r="B382" t="s">
        <v>465</v>
      </c>
      <c r="C382">
        <v>0</v>
      </c>
    </row>
    <row r="383" spans="1:3">
      <c r="A383" t="s">
        <v>531</v>
      </c>
      <c r="B383" t="s">
        <v>469</v>
      </c>
      <c r="C383">
        <v>0</v>
      </c>
    </row>
    <row r="384" spans="1:3">
      <c r="A384" t="s">
        <v>532</v>
      </c>
      <c r="B384" t="s">
        <v>470</v>
      </c>
      <c r="C384">
        <v>0</v>
      </c>
    </row>
    <row r="385" spans="1:3">
      <c r="A385" t="s">
        <v>533</v>
      </c>
      <c r="B385" t="s">
        <v>471</v>
      </c>
      <c r="C385">
        <v>0</v>
      </c>
    </row>
    <row r="386" spans="1:3">
      <c r="A386" t="s">
        <v>534</v>
      </c>
      <c r="B386" t="s">
        <v>472</v>
      </c>
      <c r="C386">
        <v>0</v>
      </c>
    </row>
    <row r="387" spans="1:3">
      <c r="A387" t="s">
        <v>535</v>
      </c>
      <c r="B387" t="s">
        <v>472</v>
      </c>
      <c r="C387">
        <v>0</v>
      </c>
    </row>
    <row r="388" spans="1:3">
      <c r="A388" t="s">
        <v>536</v>
      </c>
      <c r="B388" t="s">
        <v>466</v>
      </c>
      <c r="C388">
        <v>0</v>
      </c>
    </row>
    <row r="389" spans="1:3">
      <c r="A389" t="s">
        <v>537</v>
      </c>
      <c r="B389" t="s">
        <v>1045</v>
      </c>
      <c r="C389">
        <v>0</v>
      </c>
    </row>
    <row r="390" spans="1:3">
      <c r="A390" t="s">
        <v>538</v>
      </c>
      <c r="B390" t="s">
        <v>474</v>
      </c>
      <c r="C390">
        <v>0</v>
      </c>
    </row>
    <row r="391" spans="1:3">
      <c r="A391" t="s">
        <v>539</v>
      </c>
      <c r="B391" t="s">
        <v>1046</v>
      </c>
      <c r="C391">
        <v>0</v>
      </c>
    </row>
    <row r="392" spans="1:3">
      <c r="A392" t="s">
        <v>540</v>
      </c>
      <c r="B392" t="s">
        <v>476</v>
      </c>
      <c r="C392">
        <v>0</v>
      </c>
    </row>
    <row r="393" spans="1:3">
      <c r="A393" t="s">
        <v>541</v>
      </c>
      <c r="B393" t="s">
        <v>1047</v>
      </c>
      <c r="C393">
        <v>0</v>
      </c>
    </row>
    <row r="394" spans="1:3">
      <c r="A394" t="s">
        <v>542</v>
      </c>
      <c r="B394" t="s">
        <v>478</v>
      </c>
      <c r="C394">
        <v>0</v>
      </c>
    </row>
    <row r="395" spans="1:3">
      <c r="A395" t="s">
        <v>543</v>
      </c>
      <c r="B395" t="s">
        <v>479</v>
      </c>
      <c r="C395">
        <v>0</v>
      </c>
    </row>
    <row r="396" spans="1:3">
      <c r="A396" t="s">
        <v>544</v>
      </c>
      <c r="B396" t="s">
        <v>1048</v>
      </c>
      <c r="C396">
        <v>0</v>
      </c>
    </row>
    <row r="397" spans="1:3">
      <c r="A397" t="s">
        <v>545</v>
      </c>
      <c r="B397" t="s">
        <v>1049</v>
      </c>
      <c r="C397">
        <v>0</v>
      </c>
    </row>
    <row r="398" spans="1:3">
      <c r="A398" t="s">
        <v>546</v>
      </c>
      <c r="B398" t="s">
        <v>1050</v>
      </c>
      <c r="C398">
        <v>0</v>
      </c>
    </row>
    <row r="399" spans="1:3">
      <c r="A399" t="s">
        <v>547</v>
      </c>
      <c r="B399" t="s">
        <v>483</v>
      </c>
      <c r="C399">
        <v>0</v>
      </c>
    </row>
    <row r="400" spans="1:3">
      <c r="A400" t="s">
        <v>548</v>
      </c>
      <c r="B400" t="s">
        <v>484</v>
      </c>
      <c r="C400">
        <v>0</v>
      </c>
    </row>
    <row r="401" spans="1:3">
      <c r="A401" t="s">
        <v>549</v>
      </c>
      <c r="B401" t="s">
        <v>485</v>
      </c>
      <c r="C401">
        <v>0</v>
      </c>
    </row>
    <row r="402" spans="1:3">
      <c r="A402" t="s">
        <v>550</v>
      </c>
      <c r="B402" t="s">
        <v>486</v>
      </c>
      <c r="C402">
        <v>0</v>
      </c>
    </row>
    <row r="403" spans="1:3">
      <c r="A403" t="s">
        <v>551</v>
      </c>
      <c r="B403" t="s">
        <v>487</v>
      </c>
      <c r="C403">
        <v>0</v>
      </c>
    </row>
    <row r="404" spans="1:3">
      <c r="A404" t="s">
        <v>552</v>
      </c>
      <c r="B404" t="s">
        <v>1051</v>
      </c>
      <c r="C404">
        <v>0</v>
      </c>
    </row>
    <row r="405" spans="1:3">
      <c r="A405" t="s">
        <v>553</v>
      </c>
      <c r="B405" t="s">
        <v>489</v>
      </c>
      <c r="C405">
        <v>0</v>
      </c>
    </row>
    <row r="406" spans="1:3">
      <c r="A406" t="s">
        <v>554</v>
      </c>
      <c r="B406" t="s">
        <v>490</v>
      </c>
      <c r="C406">
        <v>0</v>
      </c>
    </row>
    <row r="407" spans="1:3">
      <c r="A407" t="s">
        <v>555</v>
      </c>
      <c r="B407" t="s">
        <v>491</v>
      </c>
      <c r="C407">
        <v>0</v>
      </c>
    </row>
    <row r="408" spans="1:3">
      <c r="A408" t="s">
        <v>1005</v>
      </c>
      <c r="B408" t="s">
        <v>984</v>
      </c>
      <c r="C408">
        <v>0</v>
      </c>
    </row>
    <row r="409" spans="1:3">
      <c r="A409" t="s">
        <v>1006</v>
      </c>
      <c r="B409" t="s">
        <v>984</v>
      </c>
      <c r="C409">
        <v>0</v>
      </c>
    </row>
    <row r="410" spans="1:3">
      <c r="A410" t="s">
        <v>1007</v>
      </c>
      <c r="B410" t="s">
        <v>984</v>
      </c>
      <c r="C410">
        <v>0</v>
      </c>
    </row>
    <row r="411" spans="1:3">
      <c r="A411" t="s">
        <v>1008</v>
      </c>
      <c r="B411" t="s">
        <v>984</v>
      </c>
      <c r="C411">
        <v>0</v>
      </c>
    </row>
    <row r="412" spans="1:3">
      <c r="A412" t="s">
        <v>1009</v>
      </c>
      <c r="B412" t="s">
        <v>984</v>
      </c>
      <c r="C412">
        <v>0</v>
      </c>
    </row>
    <row r="413" spans="1:3">
      <c r="A413" t="s">
        <v>1010</v>
      </c>
      <c r="B413" t="s">
        <v>984</v>
      </c>
      <c r="C413">
        <v>0</v>
      </c>
    </row>
    <row r="414" spans="1:3">
      <c r="A414" t="s">
        <v>1011</v>
      </c>
      <c r="B414" t="s">
        <v>1052</v>
      </c>
      <c r="C414">
        <v>0</v>
      </c>
    </row>
    <row r="415" spans="1:3">
      <c r="A415" t="s">
        <v>1012</v>
      </c>
      <c r="B415" t="s">
        <v>1052</v>
      </c>
      <c r="C415">
        <v>0</v>
      </c>
    </row>
    <row r="416" spans="1:3">
      <c r="A416" t="s">
        <v>1013</v>
      </c>
      <c r="B416" t="s">
        <v>340</v>
      </c>
      <c r="C416">
        <v>0</v>
      </c>
    </row>
    <row r="417" spans="1:3">
      <c r="A417" t="s">
        <v>967</v>
      </c>
      <c r="B417" t="s">
        <v>959</v>
      </c>
      <c r="C417">
        <v>0</v>
      </c>
    </row>
    <row r="418" spans="1:3">
      <c r="A418" t="s">
        <v>968</v>
      </c>
      <c r="B418" t="s">
        <v>960</v>
      </c>
      <c r="C418">
        <v>0</v>
      </c>
    </row>
    <row r="419" spans="1:3">
      <c r="A419" t="s">
        <v>969</v>
      </c>
      <c r="B419" t="s">
        <v>961</v>
      </c>
      <c r="C419">
        <v>0</v>
      </c>
    </row>
    <row r="420" spans="1:3">
      <c r="A420" t="s">
        <v>970</v>
      </c>
      <c r="B420" t="s">
        <v>962</v>
      </c>
      <c r="C420">
        <v>0</v>
      </c>
    </row>
    <row r="421" spans="1:3">
      <c r="A421" t="s">
        <v>971</v>
      </c>
      <c r="B421" t="s">
        <v>963</v>
      </c>
      <c r="C421">
        <v>0</v>
      </c>
    </row>
    <row r="422" spans="1:3">
      <c r="A422" t="s">
        <v>972</v>
      </c>
      <c r="B422" t="s">
        <v>964</v>
      </c>
      <c r="C422">
        <v>0</v>
      </c>
    </row>
    <row r="423" spans="1:3">
      <c r="A423" t="s">
        <v>973</v>
      </c>
      <c r="B423" t="s">
        <v>965</v>
      </c>
      <c r="C423">
        <v>0</v>
      </c>
    </row>
    <row r="424" spans="1:3">
      <c r="A424" t="s">
        <v>974</v>
      </c>
      <c r="B424" t="s">
        <v>966</v>
      </c>
      <c r="C4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FF</vt:lpstr>
      <vt:lpstr>FF2</vt:lpstr>
      <vt:lpstr>FO</vt:lpstr>
      <vt:lpstr>FC</vt:lpstr>
      <vt:lpstr>FV</vt:lpstr>
      <vt:lpstr>FS</vt:lpstr>
      <vt:lpstr>FS0001</vt:lpstr>
      <vt:lpstr>FV0001</vt:lpstr>
      <vt:lpstr>FC0001</vt:lpstr>
      <vt:lpstr>FO0002</vt:lpstr>
      <vt:lpstr>FO0001</vt:lpstr>
      <vt:lpstr>FF0156</vt:lpstr>
      <vt:lpstr>FF0001</vt:lpstr>
      <vt:lpstr>Sheet7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moukdala PTHP</dc:creator>
  <cp:lastModifiedBy>moukdala PTHP</cp:lastModifiedBy>
  <dcterms:created xsi:type="dcterms:W3CDTF">2026-04-22T03:16:43Z</dcterms:created>
  <dcterms:modified xsi:type="dcterms:W3CDTF">2026-06-16T17:18:37Z</dcterms:modified>
</cp:coreProperties>
</file>